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sql\"/>
    </mc:Choice>
  </mc:AlternateContent>
  <xr:revisionPtr revIDLastSave="0" documentId="13_ncr:1_{D5D0621C-9103-45A8-946E-0DCE668CA119}" xr6:coauthVersionLast="47" xr6:coauthVersionMax="47" xr10:uidLastSave="{00000000-0000-0000-0000-000000000000}"/>
  <bookViews>
    <workbookView xWindow="-110" yWindow="-110" windowWidth="19420" windowHeight="10300" xr2:uid="{01FD6153-A055-4750-9889-AE3733ABDEDA}"/>
  </bookViews>
  <sheets>
    <sheet name="Sheet1" sheetId="1" r:id="rId1"/>
    <sheet name="Avg wait time daily trend" sheetId="4" r:id="rId2"/>
    <sheet name="Daily ER No. of Patient" sheetId="3" r:id="rId3"/>
    <sheet name="Dashboard" sheetId="2" r:id="rId4"/>
    <sheet name="Satisfaction score daily trend" sheetId="6" r:id="rId5"/>
  </sheets>
  <definedNames>
    <definedName name="Slicer_Date__Month">#N/A</definedName>
    <definedName name="Slicer_Date__Year">#N/A</definedName>
  </definedNames>
  <calcPr calcId="191029"/>
  <pivotCaches>
    <pivotCache cacheId="1035" r:id="rId6"/>
    <pivotCache cacheId="1071" r:id="rId7"/>
    <pivotCache cacheId="1074" r:id="rId8"/>
    <pivotCache cacheId="1077" r:id="rId9"/>
    <pivotCache cacheId="1080" r:id="rId10"/>
    <pivotCache cacheId="1083" r:id="rId11"/>
    <pivotCache cacheId="1086" r:id="rId12"/>
    <pivotCache cacheId="1089" r:id="rId13"/>
    <pivotCache cacheId="1092" r:id="rId14"/>
    <pivotCache cacheId="1095" r:id="rId15"/>
    <pivotCache cacheId="1098" r:id="rId16"/>
    <pivotCache cacheId="1101" r:id="rId17"/>
  </pivotCaches>
  <extLst>
    <ext xmlns:x14="http://schemas.microsoft.com/office/spreadsheetml/2009/9/main" uri="{876F7934-8845-4945-9796-88D515C7AA90}">
      <x14:pivotCaches>
        <pivotCache cacheId="79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05f4eeb-24ff-432a-b523-9b15af8360af" name="Hospital Emergency Room Data" connection="Query - Hospital Emergency Room Data"/>
          <x15:modelTable id="Calendar_Table_e45f9038-d3c5-4473-8ae5-545437d661b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1" l="1"/>
  <c r="P18" i="1"/>
  <c r="N18" i="1"/>
  <c r="N19" i="1"/>
  <c r="O19" i="1"/>
  <c r="P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24169F-6407-4792-A9AF-F9BC6B7B9AE2}" name="Query - Calendar_Table" description="Connection to the 'Calendar_Table' query in the workbook." type="100" refreshedVersion="8" minRefreshableVersion="5">
    <extLst>
      <ext xmlns:x15="http://schemas.microsoft.com/office/spreadsheetml/2010/11/main" uri="{DE250136-89BD-433C-8126-D09CA5730AF9}">
        <x15:connection id="c03f238e-147f-49a2-a453-3612009aabae">
          <x15:oledbPr connection="Provider=Microsoft.Mashup.OleDb.1;Data Source=$Workbook$;Location=Calendar_Table;Extended Properties=&quot;&quot;">
            <x15:dbTables>
              <x15:dbTable name="Calendar_Table"/>
            </x15:dbTables>
          </x15:oledbPr>
        </x15:connection>
      </ext>
    </extLst>
  </connection>
  <connection id="2" xr16:uid="{D53E03CC-1E4E-4319-8283-55E6B58A56B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9c63d83-d35a-4c8f-8811-987eb0c24e3f"/>
      </ext>
    </extLst>
  </connection>
  <connection id="3" xr16:uid="{F18D76CA-1D51-425D-A735-AE12DF9DC4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<sst xmlns="http://schemas.openxmlformats.org/spreadsheetml/2006/main" count="151" uniqueCount="72">
  <si>
    <t>Distinct Count of Patient Id</t>
  </si>
  <si>
    <t>no of patient</t>
  </si>
  <si>
    <t>Average of Patient Waittime</t>
  </si>
  <si>
    <t>Average of Patient Satisfaction Score</t>
  </si>
  <si>
    <t>=Sheet1!A5</t>
  </si>
  <si>
    <t>Row Labels</t>
  </si>
  <si>
    <t>Grand Total</t>
  </si>
  <si>
    <t>daily trends of no of patient</t>
  </si>
  <si>
    <t>average wait itme</t>
  </si>
  <si>
    <t>Admitted</t>
  </si>
  <si>
    <t>Not Admitted</t>
  </si>
  <si>
    <t>Count of Patient Admission Flag</t>
  </si>
  <si>
    <t>Count of Patient Admission Flag2</t>
  </si>
  <si>
    <t>Admission Status</t>
  </si>
  <si>
    <t>No. of Patient</t>
  </si>
  <si>
    <t>%Status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</si>
  <si>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</si>
  <si>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</si>
  <si>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</si>
  <si>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</si>
  <si>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</si>
  <si>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</si>
  <si>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</si>
  <si>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</si>
  <si>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</si>
  <si>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</si>
  <si>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</si>
  <si>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</si>
  <si>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</si>
  <si>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</si>
  <si>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</si>
  <si>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</si>
  <si>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</si>
  <si>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</si>
  <si>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</si>
  <si>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</si>
  <si>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</si>
  <si>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</si>
  <si>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</si>
  <si>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</si>
  <si>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</si>
  <si>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</si>
  <si>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</si>
  <si>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</si>
  <si>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</si>
  <si>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</si>
  <si>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</si>
  <si>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0-9</t>
  </si>
  <si>
    <t>10-19</t>
  </si>
  <si>
    <t>20-29</t>
  </si>
  <si>
    <t>30-39</t>
  </si>
  <si>
    <t>40-49</t>
  </si>
  <si>
    <t>50-59</t>
  </si>
  <si>
    <t>60-69</t>
  </si>
  <si>
    <t>70-79</t>
  </si>
  <si>
    <t>Count of Age Group</t>
  </si>
  <si>
    <t>delay</t>
  </si>
  <si>
    <t>ontime</t>
  </si>
  <si>
    <t>Count of Calculated Column 1</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</si>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</sst>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 borderId="0" xfId="0" applyFill="1"/>
    <xf numFmtId="0" fontId="0" fillId="4" borderId="0" xfId="0" applyFill="1"/>
    <xf numFmtId="0" fontId="0" fillId="4" borderId="0" xfId="0" applyFill="1" applyAlignment="1">
      <alignment horizontal="center"/>
    </xf>
    <xf numFmtId="9" fontId="0" fillId="3" borderId="0" xfId="1" applyFont="1" applyFill="1" applyAlignment="1">
      <alignment horizontal="center"/>
    </xf>
    <xf numFmtId="1" fontId="0" fillId="3" borderId="0" xfId="1" applyNumberFormat="1" applyFont="1" applyFill="1" applyAlignment="1">
      <alignment horizontal="center"/>
    </xf>
    <xf numFmtId="0" fontId="0" fillId="3" borderId="0" xfId="0" applyFill="1" applyAlignment="1">
      <alignment horizontal="center"/>
    </xf>
    <xf numFmtId="0" fontId="0" fillId="0" borderId="0" xfId="0" applyNumberFormat="1"/>
  </cellXfs>
  <cellStyles count="2">
    <cellStyle name="Normal" xfId="0" builtinId="0"/>
    <cellStyle name="Percent" xfId="1" builtinId="5"/>
  </cellStyles>
  <dxfs count="50">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font>
        <b/>
        <color theme="1"/>
      </font>
      <border>
        <bottom style="thin">
          <color theme="5"/>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C54F0404-96CA-47AB-B77D-73ABF785C5E9}">
      <tableStyleElement type="wholeTable" dxfId="49"/>
      <tableStyleElement type="headerRow" dxfId="4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data.xlsx]Sheet1!PivotTable7</c:name>
    <c:fmtId val="1"/>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clip" horzOverflow="clip" vert="horz" wrap="none" lIns="0" tIns="91440" rIns="0" bIns="457200" anchor="t"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clip" horzOverflow="clip" vert="horz" wrap="none" lIns="0" tIns="91440" rIns="0" bIns="457200" anchor="t" anchorCtr="1">
                <a:spAutoFit/>
              </a:bodyPr>
              <a:lstStyle/>
              <a:p>
                <a:pPr>
                  <a:defRPr sz="700" b="0" i="0" u="none" strike="noStrike" kern="1200" baseline="0">
                    <a:solidFill>
                      <a:schemeClr val="tx1">
                        <a:lumMod val="75000"/>
                        <a:lumOff val="25000"/>
                      </a:schemeClr>
                    </a:solidFill>
                    <a:latin typeface="+mn-lt"/>
                    <a:ea typeface="+mn-ea"/>
                    <a:cs typeface="+mn-cs"/>
                  </a:defRPr>
                </a:pPr>
                <a:fld id="{66C4B733-32FF-481E-96AA-F2825B7837A5}" type="CELLRANGE">
                  <a:rPr lang="en-US"/>
                  <a:pPr>
                    <a:defRPr sz="700"/>
                  </a:pPr>
                  <a:t>[CELLRANGE]</a:t>
                </a:fld>
                <a:endParaRPr lang="en-US"/>
              </a:p>
            </c:rich>
          </c:tx>
          <c:numFmt formatCode="#,##0.00" sourceLinked="0"/>
          <c:spPr>
            <a:noFill/>
            <a:ln>
              <a:noFill/>
            </a:ln>
            <a:effectLst/>
          </c:spPr>
          <c:txPr>
            <a:bodyPr rot="0" spcFirstLastPara="1" vertOverflow="clip" horzOverflow="clip" vert="horz" wrap="none" lIns="0" tIns="91440" rIns="0" bIns="457200" anchor="t"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clip" horzOverflow="clip" vert="horz" wrap="none" lIns="0" tIns="91440" rIns="0" bIns="457200" anchor="t" anchorCtr="1">
                <a:spAutoFit/>
              </a:bodyPr>
              <a:lstStyle/>
              <a:p>
                <a:pPr>
                  <a:defRPr sz="700" b="0" i="0" u="none" strike="noStrike" kern="1200" baseline="0">
                    <a:solidFill>
                      <a:schemeClr val="tx1">
                        <a:lumMod val="75000"/>
                        <a:lumOff val="25000"/>
                      </a:schemeClr>
                    </a:solidFill>
                    <a:latin typeface="+mn-lt"/>
                    <a:ea typeface="+mn-ea"/>
                    <a:cs typeface="+mn-cs"/>
                  </a:defRPr>
                </a:pPr>
                <a:fld id="{D734FF36-4145-4635-BEE9-67245EFC2C3B}" type="CELLRANGE">
                  <a:rPr lang="en-US"/>
                  <a:pPr>
                    <a:defRPr sz="700"/>
                  </a:pPr>
                  <a:t>[CELLRANGE]</a:t>
                </a:fld>
                <a:endParaRPr lang="en-US"/>
              </a:p>
            </c:rich>
          </c:tx>
          <c:numFmt formatCode="#,##0.00" sourceLinked="0"/>
          <c:spPr>
            <a:noFill/>
            <a:ln>
              <a:noFill/>
            </a:ln>
            <a:effectLst/>
          </c:spPr>
          <c:txPr>
            <a:bodyPr rot="0" spcFirstLastPara="1" vertOverflow="clip" horzOverflow="clip" vert="horz" wrap="none" lIns="0" tIns="91440" rIns="0" bIns="457200" anchor="t"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1408450704225"/>
          <c:y val="0.15909119379240119"/>
          <c:w val="0.6901408450704225"/>
          <c:h val="0.6363629856173687"/>
        </c:manualLayout>
      </c:layout>
      <c:barChart>
        <c:barDir val="bar"/>
        <c:grouping val="clustered"/>
        <c:varyColors val="0"/>
        <c:ser>
          <c:idx val="0"/>
          <c:order val="0"/>
          <c:tx>
            <c:strRef>
              <c:f>(Sheet1!$P$7,Sheet1!$P$8)</c:f>
              <c:strCache>
                <c:ptCount val="1"/>
                <c:pt idx="0">
                  <c:v>Count of Patient Admission Flag</c:v>
                </c:pt>
              </c:strCache>
            </c:strRef>
          </c:tx>
          <c:spPr>
            <a:solidFill>
              <a:schemeClr val="accent1"/>
            </a:solidFill>
            <a:ln>
              <a:noFill/>
            </a:ln>
            <a:effectLst/>
          </c:spPr>
          <c:invertIfNegative val="0"/>
          <c:dLbls>
            <c:dLbl>
              <c:idx val="0"/>
              <c:tx>
                <c:rich>
                  <a:bodyPr/>
                  <a:lstStyle/>
                  <a:p>
                    <a:fld id="{D734FF36-4145-4635-BEE9-67245EFC2C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66C4B733-32FF-481E-96AA-F2825B7837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numFmt formatCode="#,##0.00" sourceLinked="0"/>
            <c:spPr>
              <a:noFill/>
              <a:ln>
                <a:noFill/>
              </a:ln>
              <a:effectLst/>
            </c:spPr>
            <c:txPr>
              <a:bodyPr rot="0" spcFirstLastPara="1" vertOverflow="clip" horzOverflow="clip" vert="horz" wrap="none" lIns="0" tIns="91440" rIns="0" bIns="457200" anchor="t"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(Sheet1!$P$7,Sheet1!$P$8)</c:f>
              <c:strCache>
                <c:ptCount val="2"/>
                <c:pt idx="0">
                  <c:v>Admitted</c:v>
                </c:pt>
                <c:pt idx="1">
                  <c:v>Not Admitted</c:v>
                </c:pt>
              </c:strCache>
            </c:strRef>
          </c:cat>
          <c:val>
            <c:numRef>
              <c:f>(Sheet1!$P$7,Sheet1!$P$8)</c:f>
              <c:numCache>
                <c:formatCode>General</c:formatCode>
                <c:ptCount val="2"/>
                <c:pt idx="0">
                  <c:v>269</c:v>
                </c:pt>
                <c:pt idx="1">
                  <c:v>244</c:v>
                </c:pt>
              </c:numCache>
            </c:numRef>
          </c:val>
          <c:extLst>
            <c:ext xmlns:c16="http://schemas.microsoft.com/office/drawing/2014/chart" uri="{C3380CC4-5D6E-409C-BE32-E72D297353CC}">
              <c16:uniqueId val="{00000005-5A6D-4848-9F40-EBB6F734F46E}"/>
            </c:ext>
          </c:extLst>
        </c:ser>
        <c:ser>
          <c:idx val="1"/>
          <c:order val="1"/>
          <c:tx>
            <c:strRef>
              <c:f>(Sheet1!$P$7,Sheet1!$P$8)</c:f>
              <c:strCache>
                <c:ptCount val="1"/>
                <c:pt idx="0">
                  <c:v>Count of Patient Admission Flag2</c:v>
                </c:pt>
              </c:strCache>
            </c:strRef>
          </c:tx>
          <c:spPr>
            <a:solidFill>
              <a:schemeClr val="accent2"/>
            </a:solidFill>
            <a:ln>
              <a:noFill/>
            </a:ln>
            <a:effectLst/>
          </c:spPr>
          <c:invertIfNegative val="0"/>
          <c:cat>
            <c:strRef>
              <c:f>(Sheet1!$P$7,Sheet1!$P$8)</c:f>
              <c:strCache>
                <c:ptCount val="2"/>
                <c:pt idx="0">
                  <c:v>Admitted</c:v>
                </c:pt>
                <c:pt idx="1">
                  <c:v>Not Admitted</c:v>
                </c:pt>
              </c:strCache>
            </c:strRef>
          </c:cat>
          <c:val>
            <c:numRef>
              <c:f>(Sheet1!$P$7,Sheet1!$P$8)</c:f>
              <c:numCache>
                <c:formatCode>0.00%</c:formatCode>
                <c:ptCount val="2"/>
                <c:pt idx="0">
                  <c:v>0.52436647173489281</c:v>
                </c:pt>
                <c:pt idx="1">
                  <c:v>0.47563352826510719</c:v>
                </c:pt>
              </c:numCache>
            </c:numRef>
          </c:val>
          <c:extLst>
            <c:ext xmlns:c16="http://schemas.microsoft.com/office/drawing/2014/chart" uri="{C3380CC4-5D6E-409C-BE32-E72D297353CC}">
              <c16:uniqueId val="{00000006-5A6D-4848-9F40-EBB6F734F46E}"/>
            </c:ext>
          </c:extLst>
        </c:ser>
        <c:dLbls>
          <c:showLegendKey val="0"/>
          <c:showVal val="0"/>
          <c:showCatName val="0"/>
          <c:showSerName val="0"/>
          <c:showPercent val="0"/>
          <c:showBubbleSize val="0"/>
        </c:dLbls>
        <c:gapWidth val="24"/>
        <c:overlap val="72"/>
        <c:axId val="1351191776"/>
        <c:axId val="1351187456"/>
      </c:barChart>
      <c:catAx>
        <c:axId val="1351191776"/>
        <c:scaling>
          <c:orientation val="minMax"/>
        </c:scaling>
        <c:delete val="1"/>
        <c:axPos val="l"/>
        <c:numFmt formatCode="General" sourceLinked="1"/>
        <c:majorTickMark val="none"/>
        <c:minorTickMark val="none"/>
        <c:tickLblPos val="nextTo"/>
        <c:crossAx val="1351187456"/>
        <c:crosses val="autoZero"/>
        <c:auto val="1"/>
        <c:lblAlgn val="ctr"/>
        <c:lblOffset val="100"/>
        <c:noMultiLvlLbl val="0"/>
      </c:catAx>
      <c:valAx>
        <c:axId val="1351187456"/>
        <c:scaling>
          <c:orientation val="minMax"/>
        </c:scaling>
        <c:delete val="1"/>
        <c:axPos val="b"/>
        <c:numFmt formatCode="General" sourceLinked="1"/>
        <c:majorTickMark val="none"/>
        <c:minorTickMark val="none"/>
        <c:tickLblPos val="nextTo"/>
        <c:crossAx val="13511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Sheet1!$H$5</c:f>
              <c:strCache>
                <c:ptCount val="1"/>
                <c:pt idx="0">
                  <c:v>Total</c:v>
                </c:pt>
              </c:strCache>
            </c:strRef>
          </c:tx>
          <c:spPr>
            <a:no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Sheet1!$H$6:$H$37</c:f>
              <c:numCache>
                <c:formatCode>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2484-4E2E-81EE-4B469ED4C81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a:glow>
                <a:schemeClr val="accent1"/>
              </a:glow>
              <a:softEdge rad="0"/>
            </a:effectLst>
          </c:spPr>
        </c:dropLines>
        <c:axId val="1525342752"/>
        <c:axId val="1525347552"/>
      </c:areaChart>
      <c:catAx>
        <c:axId val="15253427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5347552"/>
        <c:crosses val="autoZero"/>
        <c:auto val="1"/>
        <c:lblAlgn val="ctr"/>
        <c:lblOffset val="100"/>
        <c:noMultiLvlLbl val="0"/>
      </c:catAx>
      <c:valAx>
        <c:axId val="1525347552"/>
        <c:scaling>
          <c:orientation val="minMax"/>
        </c:scaling>
        <c:delete val="1"/>
        <c:axPos val="l"/>
        <c:numFmt formatCode="0.0" sourceLinked="1"/>
        <c:majorTickMark val="out"/>
        <c:minorTickMark val="none"/>
        <c:tickLblPos val="nextTo"/>
        <c:crossAx val="1525342752"/>
        <c:crosses val="autoZero"/>
        <c:crossBetween val="midCat"/>
      </c:valAx>
      <c:spPr>
        <a:noFill/>
        <a:ln>
          <a:noFill/>
        </a:ln>
        <a:effectLst>
          <a:glow rad="1905000">
            <a:schemeClr val="accent1"/>
          </a:glow>
          <a:softEdge rad="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65966754155725E-2"/>
          <c:y val="5.8047493403693931E-2"/>
          <c:w val="0.87510192475940507"/>
          <c:h val="0.73930899798475058"/>
        </c:manualLayout>
      </c:layout>
      <c:areaChart>
        <c:grouping val="standard"/>
        <c:varyColors val="0"/>
        <c:ser>
          <c:idx val="0"/>
          <c:order val="0"/>
          <c:tx>
            <c:strRef>
              <c:f>Sheet1!$D$5</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EC9A-4CA0-AE87-5AC591CAB8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51226816"/>
        <c:axId val="1351229696"/>
      </c:areaChart>
      <c:catAx>
        <c:axId val="13512268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1229696"/>
        <c:crosses val="autoZero"/>
        <c:auto val="1"/>
        <c:lblAlgn val="ctr"/>
        <c:lblOffset val="100"/>
        <c:noMultiLvlLbl val="0"/>
      </c:catAx>
      <c:valAx>
        <c:axId val="1351229696"/>
        <c:scaling>
          <c:orientation val="minMax"/>
        </c:scaling>
        <c:delete val="1"/>
        <c:axPos val="l"/>
        <c:numFmt formatCode="General" sourceLinked="1"/>
        <c:majorTickMark val="out"/>
        <c:minorTickMark val="none"/>
        <c:tickLblPos val="nextTo"/>
        <c:crossAx val="135122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data.xlsx]Sheet1!PivotTable4</c:name>
    <c:fmtId val="3"/>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3355047991862E-2"/>
          <c:y val="0.22749998981300762"/>
          <c:w val="0.82203554196086326"/>
          <c:h val="0.59775098372390267"/>
        </c:manualLayout>
      </c:layout>
      <c:areaChart>
        <c:grouping val="standard"/>
        <c:varyColors val="0"/>
        <c:ser>
          <c:idx val="0"/>
          <c:order val="0"/>
          <c:tx>
            <c:strRef>
              <c:f>Sheet1!$D$5</c:f>
              <c:strCache>
                <c:ptCount val="1"/>
                <c:pt idx="0">
                  <c:v>Total</c:v>
                </c:pt>
              </c:strCache>
            </c:strRef>
          </c:tx>
          <c:spPr>
            <a:solidFill>
              <a:schemeClr val="accent1">
                <a:lumMod val="50000"/>
              </a:schemeClr>
            </a:solidFill>
            <a:ln w="25400">
              <a:noFill/>
            </a:ln>
            <a:effectLst/>
          </c:spPr>
          <c:cat>
            <c:strRef>
              <c:f>Sheet1!$C$6:$C$37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AFF5-4647-A518-024CA07F0CCD}"/>
            </c:ext>
          </c:extLst>
        </c:ser>
        <c:dLbls>
          <c:showLegendKey val="0"/>
          <c:showVal val="0"/>
          <c:showCatName val="0"/>
          <c:showSerName val="0"/>
          <c:showPercent val="0"/>
          <c:showBubbleSize val="0"/>
        </c:dLbls>
        <c:axId val="1525384032"/>
        <c:axId val="1525374912"/>
      </c:areaChart>
      <c:catAx>
        <c:axId val="1525384032"/>
        <c:scaling>
          <c:orientation val="minMax"/>
        </c:scaling>
        <c:delete val="1"/>
        <c:axPos val="b"/>
        <c:numFmt formatCode="General" sourceLinked="1"/>
        <c:majorTickMark val="out"/>
        <c:minorTickMark val="none"/>
        <c:tickLblPos val="nextTo"/>
        <c:crossAx val="1525374912"/>
        <c:crosses val="autoZero"/>
        <c:auto val="1"/>
        <c:lblAlgn val="ctr"/>
        <c:lblOffset val="100"/>
        <c:noMultiLvlLbl val="0"/>
      </c:catAx>
      <c:valAx>
        <c:axId val="1525374912"/>
        <c:scaling>
          <c:orientation val="minMax"/>
        </c:scaling>
        <c:delete val="1"/>
        <c:axPos val="l"/>
        <c:numFmt formatCode="General" sourceLinked="1"/>
        <c:majorTickMark val="none"/>
        <c:minorTickMark val="none"/>
        <c:tickLblPos val="nextTo"/>
        <c:crossAx val="15253840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Sheet1!$H$5</c:f>
              <c:strCache>
                <c:ptCount val="1"/>
                <c:pt idx="0">
                  <c:v>Total</c:v>
                </c:pt>
              </c:strCache>
            </c:strRef>
          </c:tx>
          <c:spPr>
            <a:solidFill>
              <a:schemeClr val="accent1">
                <a:lumMod val="50000"/>
              </a:schemeClr>
            </a:solidFill>
            <a:ln w="25400">
              <a:noFill/>
            </a:ln>
            <a:effectLst/>
          </c:spPr>
          <c:cat>
            <c:strRef>
              <c:f>Sheet1!$G$6:$G$37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Sheet1!$H$6:$H$37</c:f>
              <c:numCache>
                <c:formatCode>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466D-4324-A849-D3B2473A0985}"/>
            </c:ext>
          </c:extLst>
        </c:ser>
        <c:dLbls>
          <c:showLegendKey val="0"/>
          <c:showVal val="0"/>
          <c:showCatName val="0"/>
          <c:showSerName val="0"/>
          <c:showPercent val="0"/>
          <c:showBubbleSize val="0"/>
        </c:dLbls>
        <c:axId val="1351203776"/>
        <c:axId val="1351202336"/>
      </c:areaChart>
      <c:catAx>
        <c:axId val="1351203776"/>
        <c:scaling>
          <c:orientation val="minMax"/>
        </c:scaling>
        <c:delete val="1"/>
        <c:axPos val="b"/>
        <c:numFmt formatCode="General" sourceLinked="1"/>
        <c:majorTickMark val="out"/>
        <c:minorTickMark val="none"/>
        <c:tickLblPos val="nextTo"/>
        <c:crossAx val="1351202336"/>
        <c:crosses val="autoZero"/>
        <c:auto val="1"/>
        <c:lblAlgn val="ctr"/>
        <c:lblOffset val="100"/>
        <c:noMultiLvlLbl val="0"/>
      </c:catAx>
      <c:valAx>
        <c:axId val="1351202336"/>
        <c:scaling>
          <c:orientation val="minMax"/>
        </c:scaling>
        <c:delete val="1"/>
        <c:axPos val="l"/>
        <c:numFmt formatCode="0.0" sourceLinked="1"/>
        <c:majorTickMark val="none"/>
        <c:minorTickMark val="none"/>
        <c:tickLblPos val="nextTo"/>
        <c:crossAx val="1351203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28040244969382E-2"/>
          <c:y val="5.0925925925925923E-2"/>
          <c:w val="0.87955096237970254"/>
          <c:h val="0.94907407407407407"/>
        </c:manualLayout>
      </c:layout>
      <c:areaChart>
        <c:grouping val="standard"/>
        <c:varyColors val="0"/>
        <c:ser>
          <c:idx val="0"/>
          <c:order val="0"/>
          <c:tx>
            <c:strRef>
              <c:f>Sheet1!$L$5</c:f>
              <c:strCache>
                <c:ptCount val="1"/>
                <c:pt idx="0">
                  <c:v>Total</c:v>
                </c:pt>
              </c:strCache>
            </c:strRef>
          </c:tx>
          <c:spPr>
            <a:solidFill>
              <a:schemeClr val="accent1">
                <a:lumMod val="50000"/>
              </a:schemeClr>
            </a:solidFill>
            <a:ln w="25400">
              <a:noFill/>
            </a:ln>
            <a:effectLst/>
          </c:spPr>
          <c:cat>
            <c:strRef>
              <c:f>Sheet1!$K$6:$K$37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Sheet1!$L$6:$L$37</c:f>
              <c:numCache>
                <c:formatCode>0.0</c:formatCode>
                <c:ptCount val="31"/>
                <c:pt idx="0">
                  <c:v>6.666666666666667</c:v>
                </c:pt>
                <c:pt idx="1">
                  <c:v>5.25</c:v>
                </c:pt>
                <c:pt idx="2">
                  <c:v>4.5</c:v>
                </c:pt>
                <c:pt idx="3">
                  <c:v>6</c:v>
                </c:pt>
                <c:pt idx="4">
                  <c:v>7.75</c:v>
                </c:pt>
                <c:pt idx="5">
                  <c:v>6.2</c:v>
                </c:pt>
                <c:pt idx="6">
                  <c:v>3.75</c:v>
                </c:pt>
                <c:pt idx="7">
                  <c:v>6.5</c:v>
                </c:pt>
                <c:pt idx="8">
                  <c:v>6</c:v>
                </c:pt>
                <c:pt idx="9">
                  <c:v>4.5</c:v>
                </c:pt>
                <c:pt idx="10">
                  <c:v>6</c:v>
                </c:pt>
                <c:pt idx="11">
                  <c:v>5.2</c:v>
                </c:pt>
                <c:pt idx="12">
                  <c:v>4.4000000000000004</c:v>
                </c:pt>
                <c:pt idx="13">
                  <c:v>4.75</c:v>
                </c:pt>
                <c:pt idx="14">
                  <c:v>4.8888888888888893</c:v>
                </c:pt>
                <c:pt idx="15">
                  <c:v>5.833333333333333</c:v>
                </c:pt>
                <c:pt idx="16">
                  <c:v>5</c:v>
                </c:pt>
                <c:pt idx="17">
                  <c:v>8</c:v>
                </c:pt>
                <c:pt idx="18">
                  <c:v>5.333333333333333</c:v>
                </c:pt>
                <c:pt idx="19">
                  <c:v>5.5714285714285712</c:v>
                </c:pt>
                <c:pt idx="20">
                  <c:v>5</c:v>
                </c:pt>
                <c:pt idx="21">
                  <c:v>6.4</c:v>
                </c:pt>
                <c:pt idx="22">
                  <c:v>8</c:v>
                </c:pt>
                <c:pt idx="23">
                  <c:v>5</c:v>
                </c:pt>
                <c:pt idx="24">
                  <c:v>6.333333333333333</c:v>
                </c:pt>
                <c:pt idx="25">
                  <c:v>10</c:v>
                </c:pt>
                <c:pt idx="26">
                  <c:v>5</c:v>
                </c:pt>
                <c:pt idx="27">
                  <c:v>5.333333333333333</c:v>
                </c:pt>
                <c:pt idx="28">
                  <c:v>4.8</c:v>
                </c:pt>
                <c:pt idx="29">
                  <c:v>5</c:v>
                </c:pt>
                <c:pt idx="30">
                  <c:v>1.75</c:v>
                </c:pt>
              </c:numCache>
            </c:numRef>
          </c:val>
          <c:extLst>
            <c:ext xmlns:c16="http://schemas.microsoft.com/office/drawing/2014/chart" uri="{C3380CC4-5D6E-409C-BE32-E72D297353CC}">
              <c16:uniqueId val="{00000002-E0F8-4118-85FE-34FE2AF66FE3}"/>
            </c:ext>
          </c:extLst>
        </c:ser>
        <c:dLbls>
          <c:showLegendKey val="0"/>
          <c:showVal val="0"/>
          <c:showCatName val="0"/>
          <c:showSerName val="0"/>
          <c:showPercent val="0"/>
          <c:showBubbleSize val="0"/>
        </c:dLbls>
        <c:axId val="1525398912"/>
        <c:axId val="1525394112"/>
      </c:areaChart>
      <c:catAx>
        <c:axId val="1525398912"/>
        <c:scaling>
          <c:orientation val="minMax"/>
        </c:scaling>
        <c:delete val="1"/>
        <c:axPos val="b"/>
        <c:numFmt formatCode="General" sourceLinked="1"/>
        <c:majorTickMark val="out"/>
        <c:minorTickMark val="none"/>
        <c:tickLblPos val="nextTo"/>
        <c:crossAx val="1525394112"/>
        <c:crosses val="autoZero"/>
        <c:auto val="1"/>
        <c:lblAlgn val="ctr"/>
        <c:lblOffset val="100"/>
        <c:noMultiLvlLbl val="0"/>
      </c:catAx>
      <c:valAx>
        <c:axId val="1525394112"/>
        <c:scaling>
          <c:orientation val="minMax"/>
        </c:scaling>
        <c:delete val="1"/>
        <c:axPos val="l"/>
        <c:numFmt formatCode="0.0" sourceLinked="1"/>
        <c:majorTickMark val="none"/>
        <c:minorTickMark val="none"/>
        <c:tickLblPos val="nextTo"/>
        <c:crossAx val="1525398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Sheet1!$S$8:$S$16</c:f>
              <c:strCache>
                <c:ptCount val="8"/>
                <c:pt idx="0">
                  <c:v>0-9</c:v>
                </c:pt>
                <c:pt idx="1">
                  <c:v>10-19</c:v>
                </c:pt>
                <c:pt idx="2">
                  <c:v>20-29</c:v>
                </c:pt>
                <c:pt idx="3">
                  <c:v>30-39</c:v>
                </c:pt>
                <c:pt idx="4">
                  <c:v>40-49</c:v>
                </c:pt>
                <c:pt idx="5">
                  <c:v>50-59</c:v>
                </c:pt>
                <c:pt idx="6">
                  <c:v>60-69</c:v>
                </c:pt>
                <c:pt idx="7">
                  <c:v>70-79</c:v>
                </c:pt>
              </c:strCache>
            </c:strRef>
          </c:cat>
          <c:val>
            <c:numRef>
              <c:f>Sheet1!$T$8:$T$16</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C0CB-4B25-937A-05AB24A13153}"/>
            </c:ext>
          </c:extLst>
        </c:ser>
        <c:dLbls>
          <c:dLblPos val="outEnd"/>
          <c:showLegendKey val="0"/>
          <c:showVal val="1"/>
          <c:showCatName val="0"/>
          <c:showSerName val="0"/>
          <c:showPercent val="0"/>
          <c:showBubbleSize val="0"/>
        </c:dLbls>
        <c:gapWidth val="110"/>
        <c:overlap val="-27"/>
        <c:axId val="1254675520"/>
        <c:axId val="1254689920"/>
      </c:barChart>
      <c:catAx>
        <c:axId val="12546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54689920"/>
        <c:crosses val="autoZero"/>
        <c:auto val="1"/>
        <c:lblAlgn val="ctr"/>
        <c:lblOffset val="100"/>
        <c:noMultiLvlLbl val="0"/>
      </c:catAx>
      <c:valAx>
        <c:axId val="1254689920"/>
        <c:scaling>
          <c:orientation val="minMax"/>
        </c:scaling>
        <c:delete val="1"/>
        <c:axPos val="l"/>
        <c:numFmt formatCode="General" sourceLinked="1"/>
        <c:majorTickMark val="none"/>
        <c:minorTickMark val="none"/>
        <c:tickLblPos val="nextTo"/>
        <c:crossAx val="125467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data.xlsx]Sheet1!PivotTable9</c:name>
    <c:fmtId val="3"/>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14925039370078741"/>
          <c:y val="0.21917554435871014"/>
          <c:w val="0.70584173228346458"/>
          <c:h val="0.6061029568867361"/>
        </c:manualLayout>
      </c:layout>
      <c:pieChart>
        <c:varyColors val="1"/>
        <c:ser>
          <c:idx val="0"/>
          <c:order val="0"/>
          <c:tx>
            <c:strRef>
              <c:f>Sheet1!$W$7</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Sheet1!$V$8:$V$10</c:f>
              <c:strCache>
                <c:ptCount val="2"/>
                <c:pt idx="0">
                  <c:v>delay</c:v>
                </c:pt>
                <c:pt idx="1">
                  <c:v>ontime</c:v>
                </c:pt>
              </c:strCache>
            </c:strRef>
          </c:cat>
          <c:val>
            <c:numRef>
              <c:f>Sheet1!$W$8:$W$10</c:f>
              <c:numCache>
                <c:formatCode>General</c:formatCode>
                <c:ptCount val="2"/>
                <c:pt idx="0">
                  <c:v>316</c:v>
                </c:pt>
                <c:pt idx="1">
                  <c:v>197</c:v>
                </c:pt>
              </c:numCache>
            </c:numRef>
          </c:val>
          <c:extLst>
            <c:ext xmlns:c16="http://schemas.microsoft.com/office/drawing/2014/chart" uri="{C3380CC4-5D6E-409C-BE32-E72D297353CC}">
              <c16:uniqueId val="{0000000D-7DDB-46CC-9639-AB4CB8B7A3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0884251968503947E-2"/>
          <c:y val="6.5392971711869349E-2"/>
          <c:w val="0.93812598425196847"/>
          <c:h val="0.16483771335534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data.xlsx]Sheet1!PivotTable10</c:name>
    <c:fmtId val="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3044265083788772"/>
          <c:y val="0.19417213634342748"/>
          <c:w val="0.76493169757647494"/>
          <c:h val="0.66210162233934411"/>
        </c:manualLayout>
      </c:layout>
      <c:doughnutChart>
        <c:varyColors val="1"/>
        <c:ser>
          <c:idx val="0"/>
          <c:order val="0"/>
          <c:tx>
            <c:strRef>
              <c:f>Sheet1!$W$12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Sheet1!$V$13:$V$15</c:f>
              <c:strCache>
                <c:ptCount val="2"/>
                <c:pt idx="0">
                  <c:v>Female</c:v>
                </c:pt>
                <c:pt idx="1">
                  <c:v>Male</c:v>
                </c:pt>
              </c:strCache>
            </c:strRef>
          </c:cat>
          <c:val>
            <c:numRef>
              <c:f>Sheet1!$W$13:$W$15</c:f>
              <c:numCache>
                <c:formatCode>General</c:formatCode>
                <c:ptCount val="2"/>
                <c:pt idx="0">
                  <c:v>241</c:v>
                </c:pt>
                <c:pt idx="1">
                  <c:v>272</c:v>
                </c:pt>
              </c:numCache>
            </c:numRef>
          </c:val>
          <c:extLst>
            <c:ext xmlns:c16="http://schemas.microsoft.com/office/drawing/2014/chart" uri="{C3380CC4-5D6E-409C-BE32-E72D297353CC}">
              <c16:uniqueId val="{00000007-C1A4-4AF4-AC3E-F34E2AAFE4D9}"/>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layout>
        <c:manualLayout>
          <c:xMode val="edge"/>
          <c:yMode val="edge"/>
          <c:x val="0.17621786544049078"/>
          <c:y val="2.3776846519992456E-2"/>
          <c:w val="0.36225151991256233"/>
          <c:h val="0.476021832592478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Sheet1!$T$18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Sheet1!$S$19:$S$27</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Sheet1!$T$19:$T$27</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8964-4741-BF26-E31D4C4298E0}"/>
            </c:ext>
          </c:extLst>
        </c:ser>
        <c:dLbls>
          <c:dLblPos val="outEnd"/>
          <c:showLegendKey val="0"/>
          <c:showVal val="1"/>
          <c:showCatName val="0"/>
          <c:showSerName val="0"/>
          <c:showPercent val="0"/>
          <c:showBubbleSize val="0"/>
        </c:dLbls>
        <c:gapWidth val="60"/>
        <c:overlap val="7"/>
        <c:axId val="66127968"/>
        <c:axId val="66131328"/>
      </c:barChart>
      <c:catAx>
        <c:axId val="6612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1328"/>
        <c:crosses val="autoZero"/>
        <c:auto val="1"/>
        <c:lblAlgn val="ctr"/>
        <c:lblOffset val="100"/>
        <c:noMultiLvlLbl val="0"/>
      </c:catAx>
      <c:valAx>
        <c:axId val="66131328"/>
        <c:scaling>
          <c:orientation val="minMax"/>
        </c:scaling>
        <c:delete val="1"/>
        <c:axPos val="b"/>
        <c:numFmt formatCode="General" sourceLinked="1"/>
        <c:majorTickMark val="none"/>
        <c:minorTickMark val="none"/>
        <c:tickLblPos val="nextTo"/>
        <c:crossAx val="6612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data.xlsx]Sheet1!PivotTable6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07158351409979E-2"/>
          <c:y val="6.9444444444444448E-2"/>
          <c:w val="0.95227765726681124"/>
          <c:h val="0.76310950714494019"/>
        </c:manualLayout>
      </c:layout>
      <c:areaChart>
        <c:grouping val="standard"/>
        <c:varyColors val="0"/>
        <c:ser>
          <c:idx val="0"/>
          <c:order val="0"/>
          <c:tx>
            <c:strRef>
              <c:f>Sheet1!$L$5</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Sheet1!$L$6:$L$37</c:f>
              <c:numCache>
                <c:formatCode>0.0</c:formatCode>
                <c:ptCount val="31"/>
                <c:pt idx="0">
                  <c:v>6.666666666666667</c:v>
                </c:pt>
                <c:pt idx="1">
                  <c:v>5.25</c:v>
                </c:pt>
                <c:pt idx="2">
                  <c:v>4.5</c:v>
                </c:pt>
                <c:pt idx="3">
                  <c:v>6</c:v>
                </c:pt>
                <c:pt idx="4">
                  <c:v>7.75</c:v>
                </c:pt>
                <c:pt idx="5">
                  <c:v>6.2</c:v>
                </c:pt>
                <c:pt idx="6">
                  <c:v>3.75</c:v>
                </c:pt>
                <c:pt idx="7">
                  <c:v>6.5</c:v>
                </c:pt>
                <c:pt idx="8">
                  <c:v>6</c:v>
                </c:pt>
                <c:pt idx="9">
                  <c:v>4.5</c:v>
                </c:pt>
                <c:pt idx="10">
                  <c:v>6</c:v>
                </c:pt>
                <c:pt idx="11">
                  <c:v>5.2</c:v>
                </c:pt>
                <c:pt idx="12">
                  <c:v>4.4000000000000004</c:v>
                </c:pt>
                <c:pt idx="13">
                  <c:v>4.75</c:v>
                </c:pt>
                <c:pt idx="14">
                  <c:v>4.8888888888888893</c:v>
                </c:pt>
                <c:pt idx="15">
                  <c:v>5.833333333333333</c:v>
                </c:pt>
                <c:pt idx="16">
                  <c:v>5</c:v>
                </c:pt>
                <c:pt idx="17">
                  <c:v>8</c:v>
                </c:pt>
                <c:pt idx="18">
                  <c:v>5.333333333333333</c:v>
                </c:pt>
                <c:pt idx="19">
                  <c:v>5.5714285714285712</c:v>
                </c:pt>
                <c:pt idx="20">
                  <c:v>5</c:v>
                </c:pt>
                <c:pt idx="21">
                  <c:v>6.4</c:v>
                </c:pt>
                <c:pt idx="22">
                  <c:v>8</c:v>
                </c:pt>
                <c:pt idx="23">
                  <c:v>5</c:v>
                </c:pt>
                <c:pt idx="24">
                  <c:v>6.333333333333333</c:v>
                </c:pt>
                <c:pt idx="25">
                  <c:v>10</c:v>
                </c:pt>
                <c:pt idx="26">
                  <c:v>5</c:v>
                </c:pt>
                <c:pt idx="27">
                  <c:v>5.333333333333333</c:v>
                </c:pt>
                <c:pt idx="28">
                  <c:v>4.8</c:v>
                </c:pt>
                <c:pt idx="29">
                  <c:v>5</c:v>
                </c:pt>
                <c:pt idx="30">
                  <c:v>1.75</c:v>
                </c:pt>
              </c:numCache>
            </c:numRef>
          </c:val>
          <c:extLst>
            <c:ext xmlns:c16="http://schemas.microsoft.com/office/drawing/2014/chart" uri="{C3380CC4-5D6E-409C-BE32-E72D297353CC}">
              <c16:uniqueId val="{00000001-2CAE-43BC-B2FE-490F9BB48FE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25398912"/>
        <c:axId val="1525394112"/>
      </c:areaChart>
      <c:catAx>
        <c:axId val="15253989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5394112"/>
        <c:crosses val="autoZero"/>
        <c:auto val="1"/>
        <c:lblAlgn val="ctr"/>
        <c:lblOffset val="100"/>
        <c:noMultiLvlLbl val="0"/>
      </c:catAx>
      <c:valAx>
        <c:axId val="1525394112"/>
        <c:scaling>
          <c:orientation val="minMax"/>
        </c:scaling>
        <c:delete val="1"/>
        <c:axPos val="l"/>
        <c:numFmt formatCode="0.0" sourceLinked="1"/>
        <c:majorTickMark val="out"/>
        <c:minorTickMark val="none"/>
        <c:tickLblPos val="nextTo"/>
        <c:crossAx val="1525398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hyperlink" Target="#'Satisfaction score daily trend'!A1"/><Relationship Id="rId17" Type="http://schemas.openxmlformats.org/officeDocument/2006/relationships/chart" Target="../charts/chart9.xml"/><Relationship Id="rId2" Type="http://schemas.openxmlformats.org/officeDocument/2006/relationships/image" Target="../media/image6.png"/><Relationship Id="rId16" Type="http://schemas.openxmlformats.org/officeDocument/2006/relationships/chart" Target="../charts/chart8.xml"/><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chart" Target="../charts/chart5.xml"/><Relationship Id="rId5" Type="http://schemas.openxmlformats.org/officeDocument/2006/relationships/image" Target="../media/image9.svg"/><Relationship Id="rId15" Type="http://schemas.openxmlformats.org/officeDocument/2006/relationships/chart" Target="../charts/chart7.xml"/><Relationship Id="rId10" Type="http://schemas.openxmlformats.org/officeDocument/2006/relationships/hyperlink" Target="#'Avg wait time daily trend'!A1"/><Relationship Id="rId4" Type="http://schemas.openxmlformats.org/officeDocument/2006/relationships/image" Target="../media/image8.png"/><Relationship Id="rId9" Type="http://schemas.openxmlformats.org/officeDocument/2006/relationships/chart" Target="../charts/chart4.xml"/><Relationship Id="rId14" Type="http://schemas.openxmlformats.org/officeDocument/2006/relationships/image" Target="../media/image12.emf"/></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15</xdr:col>
      <xdr:colOff>635000</xdr:colOff>
      <xdr:row>16</xdr:row>
      <xdr:rowOff>101600</xdr:rowOff>
    </xdr:from>
    <xdr:to>
      <xdr:col>16</xdr:col>
      <xdr:colOff>1123950</xdr:colOff>
      <xdr:row>19</xdr:row>
      <xdr:rowOff>107949</xdr:rowOff>
    </xdr:to>
    <xdr:graphicFrame macro="">
      <xdr:nvGraphicFramePr>
        <xdr:cNvPr id="10" name="Chart 9">
          <a:extLst>
            <a:ext uri="{FF2B5EF4-FFF2-40B4-BE49-F238E27FC236}">
              <a16:creationId xmlns:a16="http://schemas.microsoft.com/office/drawing/2014/main" id="{F5CB468B-92D2-2B7B-C999-565085A3B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1</xdr:row>
      <xdr:rowOff>76200</xdr:rowOff>
    </xdr:from>
    <xdr:to>
      <xdr:col>13</xdr:col>
      <xdr:colOff>406400</xdr:colOff>
      <xdr:row>15</xdr:row>
      <xdr:rowOff>82550</xdr:rowOff>
    </xdr:to>
    <xdr:graphicFrame macro="">
      <xdr:nvGraphicFramePr>
        <xdr:cNvPr id="2" name="Chart 1">
          <a:extLst>
            <a:ext uri="{FF2B5EF4-FFF2-40B4-BE49-F238E27FC236}">
              <a16:creationId xmlns:a16="http://schemas.microsoft.com/office/drawing/2014/main" id="{14B986E4-441E-4243-BCE9-29B79407D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0.06683</cdr:x>
      <cdr:y>0.19902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96D5BBA-836B-AC77-8839-4525B19407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14350" cy="51435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152400</xdr:colOff>
      <xdr:row>1</xdr:row>
      <xdr:rowOff>50800</xdr:rowOff>
    </xdr:from>
    <xdr:to>
      <xdr:col>11</xdr:col>
      <xdr:colOff>120650</xdr:colOff>
      <xdr:row>14</xdr:row>
      <xdr:rowOff>69850</xdr:rowOff>
    </xdr:to>
    <xdr:graphicFrame macro="">
      <xdr:nvGraphicFramePr>
        <xdr:cNvPr id="2" name="Chart 1">
          <a:extLst>
            <a:ext uri="{FF2B5EF4-FFF2-40B4-BE49-F238E27FC236}">
              <a16:creationId xmlns:a16="http://schemas.microsoft.com/office/drawing/2014/main" id="{95A7BBFC-2A7F-44EF-AA3C-91DE3D6FC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596900</xdr:colOff>
      <xdr:row>3</xdr:row>
      <xdr:rowOff>44450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14500D1-839B-D599-F566-28C25C85B9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96900" cy="596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44937</xdr:colOff>
      <xdr:row>0</xdr:row>
      <xdr:rowOff>76200</xdr:rowOff>
    </xdr:from>
    <xdr:to>
      <xdr:col>5</xdr:col>
      <xdr:colOff>305288</xdr:colOff>
      <xdr:row>3</xdr:row>
      <xdr:rowOff>165100</xdr:rowOff>
    </xdr:to>
    <xdr:sp macro="" textlink="">
      <xdr:nvSpPr>
        <xdr:cNvPr id="2" name="Rectangle: Rounded Corners 1">
          <a:extLst>
            <a:ext uri="{FF2B5EF4-FFF2-40B4-BE49-F238E27FC236}">
              <a16:creationId xmlns:a16="http://schemas.microsoft.com/office/drawing/2014/main" id="{B959B305-ED95-AB6F-3575-1510681599FA}"/>
            </a:ext>
          </a:extLst>
        </xdr:cNvPr>
        <xdr:cNvSpPr/>
      </xdr:nvSpPr>
      <xdr:spPr>
        <a:xfrm>
          <a:off x="44937" y="76200"/>
          <a:ext cx="3313236" cy="638419"/>
        </a:xfrm>
        <a:prstGeom prst="roundRect">
          <a:avLst>
            <a:gd name="adj" fmla="val 888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51044</xdr:colOff>
      <xdr:row>4</xdr:row>
      <xdr:rowOff>38100</xdr:rowOff>
    </xdr:from>
    <xdr:to>
      <xdr:col>1</xdr:col>
      <xdr:colOff>355844</xdr:colOff>
      <xdr:row>23</xdr:row>
      <xdr:rowOff>76200</xdr:rowOff>
    </xdr:to>
    <xdr:sp macro="" textlink="">
      <xdr:nvSpPr>
        <xdr:cNvPr id="15" name="Rectangle: Rounded Corners 14">
          <a:extLst>
            <a:ext uri="{FF2B5EF4-FFF2-40B4-BE49-F238E27FC236}">
              <a16:creationId xmlns:a16="http://schemas.microsoft.com/office/drawing/2014/main" id="{F7BE8888-8F94-CA98-9B45-2C4A5C79F1DD}"/>
            </a:ext>
          </a:extLst>
        </xdr:cNvPr>
        <xdr:cNvSpPr/>
      </xdr:nvSpPr>
      <xdr:spPr>
        <a:xfrm>
          <a:off x="51044" y="770792"/>
          <a:ext cx="915377" cy="3518389"/>
        </a:xfrm>
        <a:prstGeom prst="roundRect">
          <a:avLst>
            <a:gd name="adj" fmla="val 799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496765</xdr:colOff>
      <xdr:row>0</xdr:row>
      <xdr:rowOff>76200</xdr:rowOff>
    </xdr:from>
    <xdr:to>
      <xdr:col>10</xdr:col>
      <xdr:colOff>1</xdr:colOff>
      <xdr:row>8</xdr:row>
      <xdr:rowOff>116009</xdr:rowOff>
    </xdr:to>
    <xdr:sp macro="" textlink="">
      <xdr:nvSpPr>
        <xdr:cNvPr id="12" name="Rectangle: Rounded Corners 11">
          <a:extLst>
            <a:ext uri="{FF2B5EF4-FFF2-40B4-BE49-F238E27FC236}">
              <a16:creationId xmlns:a16="http://schemas.microsoft.com/office/drawing/2014/main" id="{97664787-A8CB-0229-E353-44DE453A76CF}"/>
            </a:ext>
          </a:extLst>
        </xdr:cNvPr>
        <xdr:cNvSpPr/>
      </xdr:nvSpPr>
      <xdr:spPr>
        <a:xfrm>
          <a:off x="4770803" y="76200"/>
          <a:ext cx="1334967" cy="1505194"/>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38833</xdr:colOff>
      <xdr:row>0</xdr:row>
      <xdr:rowOff>67164</xdr:rowOff>
    </xdr:from>
    <xdr:to>
      <xdr:col>12</xdr:col>
      <xdr:colOff>152646</xdr:colOff>
      <xdr:row>8</xdr:row>
      <xdr:rowOff>109903</xdr:rowOff>
    </xdr:to>
    <xdr:sp macro="" textlink="">
      <xdr:nvSpPr>
        <xdr:cNvPr id="13" name="Rectangle: Rounded Corners 12">
          <a:extLst>
            <a:ext uri="{FF2B5EF4-FFF2-40B4-BE49-F238E27FC236}">
              <a16:creationId xmlns:a16="http://schemas.microsoft.com/office/drawing/2014/main" id="{2EC679EE-6E33-3AA1-A560-C6AF1E05EB73}"/>
            </a:ext>
          </a:extLst>
        </xdr:cNvPr>
        <xdr:cNvSpPr/>
      </xdr:nvSpPr>
      <xdr:spPr>
        <a:xfrm>
          <a:off x="6144602" y="67164"/>
          <a:ext cx="1334967" cy="1508124"/>
        </a:xfrm>
        <a:prstGeom prst="roundRect">
          <a:avLst>
            <a:gd name="adj" fmla="val 40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344120</xdr:colOff>
      <xdr:row>0</xdr:row>
      <xdr:rowOff>82305</xdr:rowOff>
    </xdr:from>
    <xdr:to>
      <xdr:col>7</xdr:col>
      <xdr:colOff>457934</xdr:colOff>
      <xdr:row>3</xdr:row>
      <xdr:rowOff>171205</xdr:rowOff>
    </xdr:to>
    <xdr:sp macro="" textlink="">
      <xdr:nvSpPr>
        <xdr:cNvPr id="16" name="Rectangle: Rounded Corners 15">
          <a:extLst>
            <a:ext uri="{FF2B5EF4-FFF2-40B4-BE49-F238E27FC236}">
              <a16:creationId xmlns:a16="http://schemas.microsoft.com/office/drawing/2014/main" id="{0A12FB1B-EA04-39B2-54FD-4374B70E215C}"/>
            </a:ext>
          </a:extLst>
        </xdr:cNvPr>
        <xdr:cNvSpPr/>
      </xdr:nvSpPr>
      <xdr:spPr>
        <a:xfrm>
          <a:off x="3397005" y="82305"/>
          <a:ext cx="1334967" cy="638419"/>
        </a:xfrm>
        <a:prstGeom prst="roundRect">
          <a:avLst>
            <a:gd name="adj" fmla="val 888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386860</xdr:colOff>
      <xdr:row>4</xdr:row>
      <xdr:rowOff>42742</xdr:rowOff>
    </xdr:from>
    <xdr:to>
      <xdr:col>7</xdr:col>
      <xdr:colOff>439618</xdr:colOff>
      <xdr:row>8</xdr:row>
      <xdr:rowOff>103798</xdr:rowOff>
    </xdr:to>
    <xdr:grpSp>
      <xdr:nvGrpSpPr>
        <xdr:cNvPr id="28" name="Group 27">
          <a:extLst>
            <a:ext uri="{FF2B5EF4-FFF2-40B4-BE49-F238E27FC236}">
              <a16:creationId xmlns:a16="http://schemas.microsoft.com/office/drawing/2014/main" id="{BCF51260-672B-739C-FBBB-AC4ACEF59A16}"/>
            </a:ext>
          </a:extLst>
        </xdr:cNvPr>
        <xdr:cNvGrpSpPr/>
      </xdr:nvGrpSpPr>
      <xdr:grpSpPr>
        <a:xfrm>
          <a:off x="999181" y="768456"/>
          <a:ext cx="3726687" cy="786771"/>
          <a:chOff x="997437" y="775434"/>
          <a:chExt cx="3716219" cy="793749"/>
        </a:xfrm>
        <a:solidFill>
          <a:schemeClr val="bg1"/>
        </a:solidFill>
      </xdr:grpSpPr>
      <xdr:sp macro="" textlink="">
        <xdr:nvSpPr>
          <xdr:cNvPr id="14" name="Rectangle: Rounded Corners 13">
            <a:extLst>
              <a:ext uri="{FF2B5EF4-FFF2-40B4-BE49-F238E27FC236}">
                <a16:creationId xmlns:a16="http://schemas.microsoft.com/office/drawing/2014/main" id="{D18DF9A5-0D62-76DF-CD59-1BD29E870E51}"/>
              </a:ext>
            </a:extLst>
          </xdr:cNvPr>
          <xdr:cNvSpPr/>
        </xdr:nvSpPr>
        <xdr:spPr>
          <a:xfrm>
            <a:off x="997437" y="778363"/>
            <a:ext cx="1121265" cy="790820"/>
          </a:xfrm>
          <a:prstGeom prst="roundRect">
            <a:avLst>
              <a:gd name="adj" fmla="val 8075"/>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B9089406-B401-2B6F-4649-273ADBE503AF}"/>
              </a:ext>
            </a:extLst>
          </xdr:cNvPr>
          <xdr:cNvSpPr/>
        </xdr:nvSpPr>
        <xdr:spPr>
          <a:xfrm>
            <a:off x="2139216" y="778363"/>
            <a:ext cx="1212852" cy="784714"/>
          </a:xfrm>
          <a:prstGeom prst="roundRect">
            <a:avLst>
              <a:gd name="adj" fmla="val 8038"/>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88CA3427-94E8-1178-ACCC-B41FCFAEABE2}"/>
              </a:ext>
            </a:extLst>
          </xdr:cNvPr>
          <xdr:cNvSpPr/>
        </xdr:nvSpPr>
        <xdr:spPr>
          <a:xfrm>
            <a:off x="3376491" y="775434"/>
            <a:ext cx="1337165" cy="781537"/>
          </a:xfrm>
          <a:prstGeom prst="roundRect">
            <a:avLst>
              <a:gd name="adj" fmla="val 5785"/>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476250</xdr:colOff>
      <xdr:row>0</xdr:row>
      <xdr:rowOff>30529</xdr:rowOff>
    </xdr:from>
    <xdr:to>
      <xdr:col>7</xdr:col>
      <xdr:colOff>476250</xdr:colOff>
      <xdr:row>21</xdr:row>
      <xdr:rowOff>85480</xdr:rowOff>
    </xdr:to>
    <xdr:cxnSp macro="">
      <xdr:nvCxnSpPr>
        <xdr:cNvPr id="25" name="Straight Connector 24">
          <a:extLst>
            <a:ext uri="{FF2B5EF4-FFF2-40B4-BE49-F238E27FC236}">
              <a16:creationId xmlns:a16="http://schemas.microsoft.com/office/drawing/2014/main" id="{FAEDB9D7-A808-0E58-9D71-C917D1FE837F}"/>
            </a:ext>
          </a:extLst>
        </xdr:cNvPr>
        <xdr:cNvCxnSpPr/>
      </xdr:nvCxnSpPr>
      <xdr:spPr>
        <a:xfrm>
          <a:off x="4750288" y="30529"/>
          <a:ext cx="0" cy="39015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385356</xdr:colOff>
      <xdr:row>12</xdr:row>
      <xdr:rowOff>10100</xdr:rowOff>
    </xdr:from>
    <xdr:to>
      <xdr:col>7</xdr:col>
      <xdr:colOff>468641</xdr:colOff>
      <xdr:row>23</xdr:row>
      <xdr:rowOff>89019</xdr:rowOff>
    </xdr:to>
    <xdr:sp macro="" textlink="">
      <xdr:nvSpPr>
        <xdr:cNvPr id="26" name="Rectangle: Rounded Corners 25">
          <a:extLst>
            <a:ext uri="{FF2B5EF4-FFF2-40B4-BE49-F238E27FC236}">
              <a16:creationId xmlns:a16="http://schemas.microsoft.com/office/drawing/2014/main" id="{424FB0B0-11D2-30EA-4759-111D6351606F}"/>
            </a:ext>
          </a:extLst>
        </xdr:cNvPr>
        <xdr:cNvSpPr/>
      </xdr:nvSpPr>
      <xdr:spPr>
        <a:xfrm>
          <a:off x="996618" y="2217764"/>
          <a:ext cx="3750855" cy="2102610"/>
        </a:xfrm>
        <a:prstGeom prst="roundRect">
          <a:avLst>
            <a:gd name="adj" fmla="val 24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490657</xdr:colOff>
      <xdr:row>8</xdr:row>
      <xdr:rowOff>161680</xdr:rowOff>
    </xdr:from>
    <xdr:to>
      <xdr:col>12</xdr:col>
      <xdr:colOff>189279</xdr:colOff>
      <xdr:row>23</xdr:row>
      <xdr:rowOff>89019</xdr:rowOff>
    </xdr:to>
    <xdr:sp macro="" textlink="">
      <xdr:nvSpPr>
        <xdr:cNvPr id="27" name="Rectangle: Rounded Corners 26">
          <a:extLst>
            <a:ext uri="{FF2B5EF4-FFF2-40B4-BE49-F238E27FC236}">
              <a16:creationId xmlns:a16="http://schemas.microsoft.com/office/drawing/2014/main" id="{D2DD373E-ABCA-74E0-5022-6A0256DE5160}"/>
            </a:ext>
          </a:extLst>
        </xdr:cNvPr>
        <xdr:cNvSpPr/>
      </xdr:nvSpPr>
      <xdr:spPr>
        <a:xfrm>
          <a:off x="4769489" y="1633456"/>
          <a:ext cx="2754930" cy="2686918"/>
        </a:xfrm>
        <a:prstGeom prst="roundRect">
          <a:avLst>
            <a:gd name="adj" fmla="val 24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85482</xdr:colOff>
      <xdr:row>0</xdr:row>
      <xdr:rowOff>152645</xdr:rowOff>
    </xdr:from>
    <xdr:to>
      <xdr:col>5</xdr:col>
      <xdr:colOff>445722</xdr:colOff>
      <xdr:row>2</xdr:row>
      <xdr:rowOff>128222</xdr:rowOff>
    </xdr:to>
    <xdr:sp macro="" textlink="">
      <xdr:nvSpPr>
        <xdr:cNvPr id="29" name="TextBox 28">
          <a:extLst>
            <a:ext uri="{FF2B5EF4-FFF2-40B4-BE49-F238E27FC236}">
              <a16:creationId xmlns:a16="http://schemas.microsoft.com/office/drawing/2014/main" id="{63B8BEC2-BDAD-323B-081E-26F34F6C6738}"/>
            </a:ext>
          </a:extLst>
        </xdr:cNvPr>
        <xdr:cNvSpPr txBox="1"/>
      </xdr:nvSpPr>
      <xdr:spPr>
        <a:xfrm>
          <a:off x="696059" y="152645"/>
          <a:ext cx="2802548" cy="34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Hospital Emergency</a:t>
          </a:r>
          <a:r>
            <a:rPr lang="en-US" sz="1200" baseline="0"/>
            <a:t> Room Dashboard</a:t>
          </a:r>
          <a:endParaRPr lang="en-US" sz="1200"/>
        </a:p>
      </xdr:txBody>
    </xdr:sp>
    <xdr:clientData/>
  </xdr:twoCellAnchor>
  <xdr:twoCellAnchor editAs="oneCell">
    <xdr:from>
      <xdr:col>0</xdr:col>
      <xdr:colOff>85481</xdr:colOff>
      <xdr:row>0</xdr:row>
      <xdr:rowOff>109903</xdr:rowOff>
    </xdr:from>
    <xdr:to>
      <xdr:col>1</xdr:col>
      <xdr:colOff>268654</xdr:colOff>
      <xdr:row>3</xdr:row>
      <xdr:rowOff>170961</xdr:rowOff>
    </xdr:to>
    <xdr:pic>
      <xdr:nvPicPr>
        <xdr:cNvPr id="31" name="Picture 30">
          <a:extLst>
            <a:ext uri="{FF2B5EF4-FFF2-40B4-BE49-F238E27FC236}">
              <a16:creationId xmlns:a16="http://schemas.microsoft.com/office/drawing/2014/main" id="{21761252-A2D9-B5BF-19FC-B2579CFBC3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53" t="10891" r="19653" b="7921"/>
        <a:stretch>
          <a:fillRect/>
        </a:stretch>
      </xdr:blipFill>
      <xdr:spPr>
        <a:xfrm>
          <a:off x="85481" y="109903"/>
          <a:ext cx="793750" cy="610577"/>
        </a:xfrm>
        <a:prstGeom prst="rect">
          <a:avLst/>
        </a:prstGeom>
      </xdr:spPr>
    </xdr:pic>
    <xdr:clientData/>
  </xdr:twoCellAnchor>
  <xdr:twoCellAnchor editAs="absolute">
    <xdr:from>
      <xdr:col>0</xdr:col>
      <xdr:colOff>579804</xdr:colOff>
      <xdr:row>2</xdr:row>
      <xdr:rowOff>5863</xdr:rowOff>
    </xdr:from>
    <xdr:to>
      <xdr:col>5</xdr:col>
      <xdr:colOff>329467</xdr:colOff>
      <xdr:row>3</xdr:row>
      <xdr:rowOff>164613</xdr:rowOff>
    </xdr:to>
    <xdr:sp macro="" textlink="">
      <xdr:nvSpPr>
        <xdr:cNvPr id="33" name="TextBox 32">
          <a:extLst>
            <a:ext uri="{FF2B5EF4-FFF2-40B4-BE49-F238E27FC236}">
              <a16:creationId xmlns:a16="http://schemas.microsoft.com/office/drawing/2014/main" id="{3B3AA0FE-8F37-99E1-5B64-71335F77CE3E}"/>
            </a:ext>
          </a:extLst>
        </xdr:cNvPr>
        <xdr:cNvSpPr txBox="1"/>
      </xdr:nvSpPr>
      <xdr:spPr>
        <a:xfrm>
          <a:off x="579804" y="372209"/>
          <a:ext cx="2802548" cy="34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a:t>Monthly</a:t>
          </a:r>
          <a:r>
            <a:rPr lang="en-US" sz="1050" baseline="0"/>
            <a:t> Report</a:t>
          </a:r>
          <a:endParaRPr lang="en-US" sz="1050"/>
        </a:p>
      </xdr:txBody>
    </xdr:sp>
    <xdr:clientData/>
  </xdr:twoCellAnchor>
  <xdr:twoCellAnchor editAs="absolute">
    <xdr:from>
      <xdr:col>1</xdr:col>
      <xdr:colOff>409086</xdr:colOff>
      <xdr:row>6</xdr:row>
      <xdr:rowOff>1259</xdr:rowOff>
    </xdr:from>
    <xdr:to>
      <xdr:col>3</xdr:col>
      <xdr:colOff>256442</xdr:colOff>
      <xdr:row>7</xdr:row>
      <xdr:rowOff>30528</xdr:rowOff>
    </xdr:to>
    <xdr:sp macro="" textlink="">
      <xdr:nvSpPr>
        <xdr:cNvPr id="34" name="TextBox 33">
          <a:extLst>
            <a:ext uri="{FF2B5EF4-FFF2-40B4-BE49-F238E27FC236}">
              <a16:creationId xmlns:a16="http://schemas.microsoft.com/office/drawing/2014/main" id="{3FC5D9CD-0E45-B263-559C-C6FA275C6FB1}"/>
            </a:ext>
          </a:extLst>
        </xdr:cNvPr>
        <xdr:cNvSpPr txBox="1"/>
      </xdr:nvSpPr>
      <xdr:spPr>
        <a:xfrm>
          <a:off x="1019663" y="1098552"/>
          <a:ext cx="1068510" cy="21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No.</a:t>
          </a:r>
          <a:r>
            <a:rPr lang="en-US" sz="900" baseline="0"/>
            <a:t> of Patient</a:t>
          </a:r>
          <a:endParaRPr lang="en-US" sz="900"/>
        </a:p>
      </xdr:txBody>
    </xdr:sp>
    <xdr:clientData/>
  </xdr:twoCellAnchor>
  <xdr:twoCellAnchor editAs="absolute">
    <xdr:from>
      <xdr:col>1</xdr:col>
      <xdr:colOff>390768</xdr:colOff>
      <xdr:row>5</xdr:row>
      <xdr:rowOff>30044</xdr:rowOff>
    </xdr:from>
    <xdr:to>
      <xdr:col>3</xdr:col>
      <xdr:colOff>238124</xdr:colOff>
      <xdr:row>6</xdr:row>
      <xdr:rowOff>61059</xdr:rowOff>
    </xdr:to>
    <xdr:sp macro="" textlink="Sheet1!A5">
      <xdr:nvSpPr>
        <xdr:cNvPr id="35" name="TextBox 34">
          <a:extLst>
            <a:ext uri="{FF2B5EF4-FFF2-40B4-BE49-F238E27FC236}">
              <a16:creationId xmlns:a16="http://schemas.microsoft.com/office/drawing/2014/main" id="{4827A348-A507-8145-504A-EF937397064F}"/>
            </a:ext>
          </a:extLst>
        </xdr:cNvPr>
        <xdr:cNvSpPr txBox="1"/>
      </xdr:nvSpPr>
      <xdr:spPr>
        <a:xfrm>
          <a:off x="1001345" y="945909"/>
          <a:ext cx="1068510" cy="21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3A1F76B-88BB-4259-806C-7447F52B4EBC}" type="TxLink">
            <a:rPr lang="en-US" sz="1100" b="0" i="0" u="none" strike="noStrike">
              <a:solidFill>
                <a:srgbClr val="000000"/>
              </a:solidFill>
              <a:latin typeface="Calibri"/>
              <a:ea typeface="Calibri"/>
              <a:cs typeface="Calibri"/>
            </a:rPr>
            <a:pPr algn="ctr"/>
            <a:t>513</a:t>
          </a:fld>
          <a:endParaRPr lang="en-US" sz="1050"/>
        </a:p>
      </xdr:txBody>
    </xdr:sp>
    <xdr:clientData/>
  </xdr:twoCellAnchor>
  <xdr:twoCellAnchor editAs="absolute">
    <xdr:from>
      <xdr:col>3</xdr:col>
      <xdr:colOff>384663</xdr:colOff>
      <xdr:row>6</xdr:row>
      <xdr:rowOff>1259</xdr:rowOff>
    </xdr:from>
    <xdr:to>
      <xdr:col>5</xdr:col>
      <xdr:colOff>232019</xdr:colOff>
      <xdr:row>7</xdr:row>
      <xdr:rowOff>30528</xdr:rowOff>
    </xdr:to>
    <xdr:sp macro="" textlink="">
      <xdr:nvSpPr>
        <xdr:cNvPr id="36" name="TextBox 35">
          <a:extLst>
            <a:ext uri="{FF2B5EF4-FFF2-40B4-BE49-F238E27FC236}">
              <a16:creationId xmlns:a16="http://schemas.microsoft.com/office/drawing/2014/main" id="{4CDB16CB-2015-3A8B-6364-6366A7E842A4}"/>
            </a:ext>
          </a:extLst>
        </xdr:cNvPr>
        <xdr:cNvSpPr txBox="1"/>
      </xdr:nvSpPr>
      <xdr:spPr>
        <a:xfrm>
          <a:off x="2216394" y="1098552"/>
          <a:ext cx="1068510" cy="21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Average</a:t>
          </a:r>
          <a:r>
            <a:rPr lang="en-US" sz="900" baseline="0"/>
            <a:t> Wait Time</a:t>
          </a:r>
          <a:endParaRPr lang="en-US" sz="900"/>
        </a:p>
      </xdr:txBody>
    </xdr:sp>
    <xdr:clientData/>
  </xdr:twoCellAnchor>
  <xdr:twoCellAnchor editAs="absolute">
    <xdr:from>
      <xdr:col>3</xdr:col>
      <xdr:colOff>366345</xdr:colOff>
      <xdr:row>5</xdr:row>
      <xdr:rowOff>30044</xdr:rowOff>
    </xdr:from>
    <xdr:to>
      <xdr:col>5</xdr:col>
      <xdr:colOff>213701</xdr:colOff>
      <xdr:row>6</xdr:row>
      <xdr:rowOff>61059</xdr:rowOff>
    </xdr:to>
    <xdr:sp macro="" textlink="Sheet1!A9">
      <xdr:nvSpPr>
        <xdr:cNvPr id="37" name="TextBox 36">
          <a:extLst>
            <a:ext uri="{FF2B5EF4-FFF2-40B4-BE49-F238E27FC236}">
              <a16:creationId xmlns:a16="http://schemas.microsoft.com/office/drawing/2014/main" id="{60B27A2A-E859-79AE-9017-352EFBDAFDA7}"/>
            </a:ext>
          </a:extLst>
        </xdr:cNvPr>
        <xdr:cNvSpPr txBox="1"/>
      </xdr:nvSpPr>
      <xdr:spPr>
        <a:xfrm>
          <a:off x="2198076" y="945909"/>
          <a:ext cx="1068510" cy="21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CA6CED7-5F2B-481A-8727-888B564708B7}" type="TxLink">
            <a:rPr lang="en-US" sz="1100" b="0" i="0" u="none" strike="noStrike">
              <a:solidFill>
                <a:srgbClr val="000000"/>
              </a:solidFill>
              <a:latin typeface="Calibri"/>
              <a:ea typeface="Calibri"/>
              <a:cs typeface="Calibri"/>
            </a:rPr>
            <a:pPr algn="ctr"/>
            <a:t>36.32</a:t>
          </a:fld>
          <a:endParaRPr lang="en-US" sz="1050"/>
        </a:p>
      </xdr:txBody>
    </xdr:sp>
    <xdr:clientData/>
  </xdr:twoCellAnchor>
  <xdr:twoCellAnchor editAs="absolute">
    <xdr:from>
      <xdr:col>5</xdr:col>
      <xdr:colOff>354134</xdr:colOff>
      <xdr:row>6</xdr:row>
      <xdr:rowOff>1259</xdr:rowOff>
    </xdr:from>
    <xdr:to>
      <xdr:col>7</xdr:col>
      <xdr:colOff>457933</xdr:colOff>
      <xdr:row>7</xdr:row>
      <xdr:rowOff>134326</xdr:rowOff>
    </xdr:to>
    <xdr:sp macro="" textlink="">
      <xdr:nvSpPr>
        <xdr:cNvPr id="38" name="TextBox 37">
          <a:extLst>
            <a:ext uri="{FF2B5EF4-FFF2-40B4-BE49-F238E27FC236}">
              <a16:creationId xmlns:a16="http://schemas.microsoft.com/office/drawing/2014/main" id="{E0FFE26D-747B-C88D-B2F1-D63228BBC604}"/>
            </a:ext>
          </a:extLst>
        </xdr:cNvPr>
        <xdr:cNvSpPr txBox="1"/>
      </xdr:nvSpPr>
      <xdr:spPr>
        <a:xfrm>
          <a:off x="3407019" y="1098552"/>
          <a:ext cx="1324952" cy="31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Patient</a:t>
          </a:r>
          <a:r>
            <a:rPr lang="en-US" sz="900" baseline="0"/>
            <a:t> Satisfaction Score</a:t>
          </a:r>
          <a:endParaRPr lang="en-US" sz="900"/>
        </a:p>
      </xdr:txBody>
    </xdr:sp>
    <xdr:clientData/>
  </xdr:twoCellAnchor>
  <xdr:twoCellAnchor editAs="absolute">
    <xdr:from>
      <xdr:col>5</xdr:col>
      <xdr:colOff>433509</xdr:colOff>
      <xdr:row>5</xdr:row>
      <xdr:rowOff>30044</xdr:rowOff>
    </xdr:from>
    <xdr:to>
      <xdr:col>7</xdr:col>
      <xdr:colOff>280866</xdr:colOff>
      <xdr:row>6</xdr:row>
      <xdr:rowOff>61059</xdr:rowOff>
    </xdr:to>
    <xdr:sp macro="" textlink="Sheet1!A13">
      <xdr:nvSpPr>
        <xdr:cNvPr id="39" name="TextBox 38">
          <a:extLst>
            <a:ext uri="{FF2B5EF4-FFF2-40B4-BE49-F238E27FC236}">
              <a16:creationId xmlns:a16="http://schemas.microsoft.com/office/drawing/2014/main" id="{ACB1465E-3D30-B6C1-81C1-A3CCBB3E0D84}"/>
            </a:ext>
          </a:extLst>
        </xdr:cNvPr>
        <xdr:cNvSpPr txBox="1"/>
      </xdr:nvSpPr>
      <xdr:spPr>
        <a:xfrm>
          <a:off x="3486394" y="945909"/>
          <a:ext cx="1068510" cy="21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6E34832-653E-4DFB-BBC0-C1758B22F88E}" type="TxLink">
            <a:rPr lang="en-US" sz="1100" b="0" i="0" u="none" strike="noStrike">
              <a:solidFill>
                <a:srgbClr val="000000"/>
              </a:solidFill>
              <a:latin typeface="Calibri"/>
              <a:ea typeface="Calibri"/>
              <a:cs typeface="Calibri"/>
            </a:rPr>
            <a:pPr algn="ctr"/>
            <a:t>5.44</a:t>
          </a:fld>
          <a:endParaRPr lang="en-US" sz="1050"/>
        </a:p>
      </xdr:txBody>
    </xdr:sp>
    <xdr:clientData/>
  </xdr:twoCellAnchor>
  <xdr:twoCellAnchor editAs="oneCell">
    <xdr:from>
      <xdr:col>3</xdr:col>
      <xdr:colOff>54952</xdr:colOff>
      <xdr:row>4</xdr:row>
      <xdr:rowOff>61058</xdr:rowOff>
    </xdr:from>
    <xdr:to>
      <xdr:col>3</xdr:col>
      <xdr:colOff>311394</xdr:colOff>
      <xdr:row>5</xdr:row>
      <xdr:rowOff>116010</xdr:rowOff>
    </xdr:to>
    <xdr:pic>
      <xdr:nvPicPr>
        <xdr:cNvPr id="41" name="Graphic 40" descr="Male profile with solid fill">
          <a:extLst>
            <a:ext uri="{FF2B5EF4-FFF2-40B4-BE49-F238E27FC236}">
              <a16:creationId xmlns:a16="http://schemas.microsoft.com/office/drawing/2014/main" id="{76EC16C9-B8E2-6275-AF90-2A0CAFD9833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86683" y="793750"/>
          <a:ext cx="256442" cy="238125"/>
        </a:xfrm>
        <a:prstGeom prst="rect">
          <a:avLst/>
        </a:prstGeom>
      </xdr:spPr>
    </xdr:pic>
    <xdr:clientData/>
  </xdr:twoCellAnchor>
  <xdr:twoCellAnchor editAs="oneCell">
    <xdr:from>
      <xdr:col>7</xdr:col>
      <xdr:colOff>133935</xdr:colOff>
      <xdr:row>4</xdr:row>
      <xdr:rowOff>73270</xdr:rowOff>
    </xdr:from>
    <xdr:to>
      <xdr:col>7</xdr:col>
      <xdr:colOff>427406</xdr:colOff>
      <xdr:row>5</xdr:row>
      <xdr:rowOff>109904</xdr:rowOff>
    </xdr:to>
    <xdr:pic>
      <xdr:nvPicPr>
        <xdr:cNvPr id="43" name="Graphic 42" descr="Customer review with solid fill">
          <a:extLst>
            <a:ext uri="{FF2B5EF4-FFF2-40B4-BE49-F238E27FC236}">
              <a16:creationId xmlns:a16="http://schemas.microsoft.com/office/drawing/2014/main" id="{E6DE0182-A22E-2E27-E313-1804174B0B8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07973" y="805962"/>
          <a:ext cx="293471" cy="219807"/>
        </a:xfrm>
        <a:prstGeom prst="rect">
          <a:avLst/>
        </a:prstGeom>
      </xdr:spPr>
    </xdr:pic>
    <xdr:clientData/>
  </xdr:twoCellAnchor>
  <xdr:twoCellAnchor editAs="oneCell">
    <xdr:from>
      <xdr:col>5</xdr:col>
      <xdr:colOff>79375</xdr:colOff>
      <xdr:row>4</xdr:row>
      <xdr:rowOff>73271</xdr:rowOff>
    </xdr:from>
    <xdr:to>
      <xdr:col>5</xdr:col>
      <xdr:colOff>280864</xdr:colOff>
      <xdr:row>5</xdr:row>
      <xdr:rowOff>111736</xdr:rowOff>
    </xdr:to>
    <xdr:pic>
      <xdr:nvPicPr>
        <xdr:cNvPr id="45" name="Graphic 44" descr="Hourglass Finished with solid fill">
          <a:extLst>
            <a:ext uri="{FF2B5EF4-FFF2-40B4-BE49-F238E27FC236}">
              <a16:creationId xmlns:a16="http://schemas.microsoft.com/office/drawing/2014/main" id="{281F8CE2-AB17-A845-AC58-198351DB448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32260" y="805963"/>
          <a:ext cx="201489" cy="221638"/>
        </a:xfrm>
        <a:prstGeom prst="rect">
          <a:avLst/>
        </a:prstGeom>
      </xdr:spPr>
    </xdr:pic>
    <xdr:clientData/>
  </xdr:twoCellAnchor>
  <xdr:twoCellAnchor editAs="oneCell">
    <xdr:from>
      <xdr:col>0</xdr:col>
      <xdr:colOff>91586</xdr:colOff>
      <xdr:row>5</xdr:row>
      <xdr:rowOff>73269</xdr:rowOff>
    </xdr:from>
    <xdr:to>
      <xdr:col>1</xdr:col>
      <xdr:colOff>292539</xdr:colOff>
      <xdr:row>22</xdr:row>
      <xdr:rowOff>48845</xdr:rowOff>
    </xdr:to>
    <mc:AlternateContent xmlns:mc="http://schemas.openxmlformats.org/markup-compatibility/2006" xmlns:a14="http://schemas.microsoft.com/office/drawing/2010/main">
      <mc:Choice Requires="a14">
        <xdr:graphicFrame macro="">
          <xdr:nvGraphicFramePr>
            <xdr:cNvPr id="46" name="Date (Month)">
              <a:extLst>
                <a:ext uri="{FF2B5EF4-FFF2-40B4-BE49-F238E27FC236}">
                  <a16:creationId xmlns:a16="http://schemas.microsoft.com/office/drawing/2014/main" id="{1ADFA714-7EAA-430E-83DC-35DF76BD649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1586" y="980412"/>
              <a:ext cx="813274" cy="3059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269186</xdr:colOff>
      <xdr:row>5</xdr:row>
      <xdr:rowOff>44042</xdr:rowOff>
    </xdr:from>
    <xdr:to>
      <xdr:col>3</xdr:col>
      <xdr:colOff>405257</xdr:colOff>
      <xdr:row>9</xdr:row>
      <xdr:rowOff>44043</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D8F4F361-97D1-4705-A6D4-057A73408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287262</xdr:colOff>
      <xdr:row>6</xdr:row>
      <xdr:rowOff>181428</xdr:rowOff>
    </xdr:from>
    <xdr:to>
      <xdr:col>5</xdr:col>
      <xdr:colOff>294822</xdr:colOff>
      <xdr:row>8</xdr:row>
      <xdr:rowOff>105831</xdr:rowOff>
    </xdr:to>
    <xdr:graphicFrame macro="">
      <xdr:nvGraphicFramePr>
        <xdr:cNvPr id="48" name="Chart 47">
          <a:hlinkClick xmlns:r="http://schemas.openxmlformats.org/officeDocument/2006/relationships" r:id="rId10"/>
          <a:extLst>
            <a:ext uri="{FF2B5EF4-FFF2-40B4-BE49-F238E27FC236}">
              <a16:creationId xmlns:a16="http://schemas.microsoft.com/office/drawing/2014/main" id="{732CC95F-E10E-423B-B54F-CF68523FD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249465</xdr:colOff>
      <xdr:row>6</xdr:row>
      <xdr:rowOff>83155</xdr:rowOff>
    </xdr:from>
    <xdr:to>
      <xdr:col>7</xdr:col>
      <xdr:colOff>544286</xdr:colOff>
      <xdr:row>8</xdr:row>
      <xdr:rowOff>99133</xdr:rowOff>
    </xdr:to>
    <xdr:graphicFrame macro="">
      <xdr:nvGraphicFramePr>
        <xdr:cNvPr id="49" name="Chart 48">
          <a:hlinkClick xmlns:r="http://schemas.openxmlformats.org/officeDocument/2006/relationships" r:id="rId12"/>
          <a:extLst>
            <a:ext uri="{FF2B5EF4-FFF2-40B4-BE49-F238E27FC236}">
              <a16:creationId xmlns:a16="http://schemas.microsoft.com/office/drawing/2014/main" id="{99072987-6E44-4BA1-A82B-2CB7CF095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380999</xdr:colOff>
          <xdr:row>8</xdr:row>
          <xdr:rowOff>174854</xdr:rowOff>
        </xdr:from>
        <xdr:to>
          <xdr:col>7</xdr:col>
          <xdr:colOff>465667</xdr:colOff>
          <xdr:row>11</xdr:row>
          <xdr:rowOff>151295</xdr:rowOff>
        </xdr:to>
        <xdr:pic>
          <xdr:nvPicPr>
            <xdr:cNvPr id="4" name="Picture 3">
              <a:extLst>
                <a:ext uri="{FF2B5EF4-FFF2-40B4-BE49-F238E27FC236}">
                  <a16:creationId xmlns:a16="http://schemas.microsoft.com/office/drawing/2014/main" id="{EE00E451-F558-97D0-5F7A-732E41362C0A}"/>
                </a:ext>
              </a:extLst>
            </xdr:cNvPr>
            <xdr:cNvPicPr>
              <a:picLocks noChangeAspect="1" noChangeArrowheads="1"/>
              <a:extLst>
                <a:ext uri="{84589F7E-364E-4C9E-8A38-B11213B215E9}">
                  <a14:cameraTool cellRange="Sheet1!$N$17:$Q$19" spid="_x0000_s4105"/>
                </a:ext>
              </a:extLst>
            </xdr:cNvPicPr>
          </xdr:nvPicPr>
          <xdr:blipFill>
            <a:blip xmlns:r="http://schemas.openxmlformats.org/officeDocument/2006/relationships" r:embed="rId14"/>
            <a:srcRect/>
            <a:stretch>
              <a:fillRect/>
            </a:stretch>
          </xdr:blipFill>
          <xdr:spPr bwMode="auto">
            <a:xfrm>
              <a:off x="988390" y="1647318"/>
              <a:ext cx="3729016" cy="528615"/>
            </a:xfrm>
            <a:prstGeom prst="roundRect">
              <a:avLst>
                <a:gd name="adj" fmla="val 8594"/>
              </a:avLst>
            </a:prstGeom>
            <a:solidFill>
              <a:srgbClr val="FFFFFF">
                <a:shade val="85000"/>
              </a:srgbClr>
            </a:solidFill>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391123</xdr:colOff>
      <xdr:row>12</xdr:row>
      <xdr:rowOff>1</xdr:rowOff>
    </xdr:from>
    <xdr:to>
      <xdr:col>7</xdr:col>
      <xdr:colOff>450942</xdr:colOff>
      <xdr:row>21</xdr:row>
      <xdr:rowOff>115037</xdr:rowOff>
    </xdr:to>
    <xdr:graphicFrame macro="">
      <xdr:nvGraphicFramePr>
        <xdr:cNvPr id="5" name="Chart 4">
          <a:extLst>
            <a:ext uri="{FF2B5EF4-FFF2-40B4-BE49-F238E27FC236}">
              <a16:creationId xmlns:a16="http://schemas.microsoft.com/office/drawing/2014/main" id="{D8DA2C67-3929-43BD-860F-C25742D30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128840</xdr:colOff>
      <xdr:row>21</xdr:row>
      <xdr:rowOff>128841</xdr:rowOff>
    </xdr:from>
    <xdr:to>
      <xdr:col>5</xdr:col>
      <xdr:colOff>538369</xdr:colOff>
      <xdr:row>22</xdr:row>
      <xdr:rowOff>119639</xdr:rowOff>
    </xdr:to>
    <xdr:sp macro="" textlink="">
      <xdr:nvSpPr>
        <xdr:cNvPr id="6" name="TextBox 5">
          <a:extLst>
            <a:ext uri="{FF2B5EF4-FFF2-40B4-BE49-F238E27FC236}">
              <a16:creationId xmlns:a16="http://schemas.microsoft.com/office/drawing/2014/main" id="{EA6B0AF6-5E7F-164C-0656-24C0C39B4631}"/>
            </a:ext>
          </a:extLst>
        </xdr:cNvPr>
        <xdr:cNvSpPr txBox="1"/>
      </xdr:nvSpPr>
      <xdr:spPr>
        <a:xfrm>
          <a:off x="1951014" y="3994058"/>
          <a:ext cx="1624312" cy="174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No. of Patient by Age Group</a:t>
          </a:r>
        </a:p>
      </xdr:txBody>
    </xdr:sp>
    <xdr:clientData/>
  </xdr:twoCellAnchor>
  <xdr:twoCellAnchor>
    <xdr:from>
      <xdr:col>7</xdr:col>
      <xdr:colOff>478071</xdr:colOff>
      <xdr:row>0</xdr:row>
      <xdr:rowOff>41543</xdr:rowOff>
    </xdr:from>
    <xdr:to>
      <xdr:col>10</xdr:col>
      <xdr:colOff>3455</xdr:colOff>
      <xdr:row>8</xdr:row>
      <xdr:rowOff>105848</xdr:rowOff>
    </xdr:to>
    <xdr:graphicFrame macro="">
      <xdr:nvGraphicFramePr>
        <xdr:cNvPr id="7" name="Chart 6">
          <a:extLst>
            <a:ext uri="{FF2B5EF4-FFF2-40B4-BE49-F238E27FC236}">
              <a16:creationId xmlns:a16="http://schemas.microsoft.com/office/drawing/2014/main" id="{B564C651-A182-4CCD-A1A1-C9B5FDCF6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35741</xdr:colOff>
      <xdr:row>0</xdr:row>
      <xdr:rowOff>67163</xdr:rowOff>
    </xdr:from>
    <xdr:to>
      <xdr:col>12</xdr:col>
      <xdr:colOff>128608</xdr:colOff>
      <xdr:row>8</xdr:row>
      <xdr:rowOff>96456</xdr:rowOff>
    </xdr:to>
    <xdr:graphicFrame macro="">
      <xdr:nvGraphicFramePr>
        <xdr:cNvPr id="8" name="Chart 7">
          <a:extLst>
            <a:ext uri="{FF2B5EF4-FFF2-40B4-BE49-F238E27FC236}">
              <a16:creationId xmlns:a16="http://schemas.microsoft.com/office/drawing/2014/main" id="{234E86FA-BD4D-4A8C-B456-39B57468C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104494</xdr:colOff>
      <xdr:row>7</xdr:row>
      <xdr:rowOff>72342</xdr:rowOff>
    </xdr:from>
    <xdr:to>
      <xdr:col>12</xdr:col>
      <xdr:colOff>176835</xdr:colOff>
      <xdr:row>8</xdr:row>
      <xdr:rowOff>80380</xdr:rowOff>
    </xdr:to>
    <xdr:sp macro="" textlink="">
      <xdr:nvSpPr>
        <xdr:cNvPr id="9" name="TextBox 8">
          <a:extLst>
            <a:ext uri="{FF2B5EF4-FFF2-40B4-BE49-F238E27FC236}">
              <a16:creationId xmlns:a16="http://schemas.microsoft.com/office/drawing/2014/main" id="{45DBB7B1-4C8E-7BC2-454C-0012BB600031}"/>
            </a:ext>
          </a:extLst>
        </xdr:cNvPr>
        <xdr:cNvSpPr txBox="1"/>
      </xdr:nvSpPr>
      <xdr:spPr>
        <a:xfrm>
          <a:off x="6213355" y="1366456"/>
          <a:ext cx="1294113" cy="192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r>
            <a:rPr lang="en-US" sz="1100"/>
            <a:t>Gender Wise</a:t>
          </a:r>
          <a:r>
            <a:rPr lang="en-US" sz="1100" baseline="0"/>
            <a:t> Analysis</a:t>
          </a:r>
          <a:endParaRPr lang="en-US" sz="1100"/>
        </a:p>
      </xdr:txBody>
    </xdr:sp>
    <xdr:clientData/>
  </xdr:twoCellAnchor>
  <xdr:twoCellAnchor>
    <xdr:from>
      <xdr:col>7</xdr:col>
      <xdr:colOff>488492</xdr:colOff>
      <xdr:row>8</xdr:row>
      <xdr:rowOff>148078</xdr:rowOff>
    </xdr:from>
    <xdr:to>
      <xdr:col>12</xdr:col>
      <xdr:colOff>184873</xdr:colOff>
      <xdr:row>22</xdr:row>
      <xdr:rowOff>96456</xdr:rowOff>
    </xdr:to>
    <xdr:graphicFrame macro="">
      <xdr:nvGraphicFramePr>
        <xdr:cNvPr id="10" name="Chart 9">
          <a:extLst>
            <a:ext uri="{FF2B5EF4-FFF2-40B4-BE49-F238E27FC236}">
              <a16:creationId xmlns:a16="http://schemas.microsoft.com/office/drawing/2014/main" id="{40199DE3-E7D9-4EF0-8780-37D5DF13E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506392</xdr:colOff>
      <xdr:row>21</xdr:row>
      <xdr:rowOff>176835</xdr:rowOff>
    </xdr:from>
    <xdr:to>
      <xdr:col>12</xdr:col>
      <xdr:colOff>80379</xdr:colOff>
      <xdr:row>23</xdr:row>
      <xdr:rowOff>24114</xdr:rowOff>
    </xdr:to>
    <xdr:sp macro="" textlink="">
      <xdr:nvSpPr>
        <xdr:cNvPr id="11" name="TextBox 10">
          <a:extLst>
            <a:ext uri="{FF2B5EF4-FFF2-40B4-BE49-F238E27FC236}">
              <a16:creationId xmlns:a16="http://schemas.microsoft.com/office/drawing/2014/main" id="{0F42165C-1792-A434-FB7F-FAFCA28B6878}"/>
            </a:ext>
          </a:extLst>
        </xdr:cNvPr>
        <xdr:cNvSpPr txBox="1"/>
      </xdr:nvSpPr>
      <xdr:spPr>
        <a:xfrm>
          <a:off x="4782595" y="4059177"/>
          <a:ext cx="2628417" cy="217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 of Patitent by Department Referal</a:t>
          </a:r>
        </a:p>
      </xdr:txBody>
    </xdr:sp>
    <xdr:clientData/>
  </xdr:twoCellAnchor>
  <xdr:twoCellAnchor editAs="oneCell">
    <xdr:from>
      <xdr:col>5</xdr:col>
      <xdr:colOff>369747</xdr:colOff>
      <xdr:row>0</xdr:row>
      <xdr:rowOff>112532</xdr:rowOff>
    </xdr:from>
    <xdr:to>
      <xdr:col>7</xdr:col>
      <xdr:colOff>445280</xdr:colOff>
      <xdr:row>4</xdr:row>
      <xdr:rowOff>13118</xdr:rowOff>
    </xdr:to>
    <mc:AlternateContent xmlns:mc="http://schemas.openxmlformats.org/markup-compatibility/2006">
      <mc:Choice xmlns:a14="http://schemas.microsoft.com/office/drawing/2010/main" Requires="a14">
        <xdr:graphicFrame macro="">
          <xdr:nvGraphicFramePr>
            <xdr:cNvPr id="17" name="Date (Year)">
              <a:extLst>
                <a:ext uri="{FF2B5EF4-FFF2-40B4-BE49-F238E27FC236}">
                  <a16:creationId xmlns:a16="http://schemas.microsoft.com/office/drawing/2014/main" id="{9B4A68F3-63FE-4F8A-A3DC-2AF372096DD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31354" y="112532"/>
              <a:ext cx="1300176" cy="62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0.05917</cdr:x>
      <cdr:y>0.84896</cdr:y>
    </cdr:from>
    <cdr:to>
      <cdr:x>1</cdr:x>
      <cdr:y>1</cdr:y>
    </cdr:to>
    <cdr:sp macro="" textlink="">
      <cdr:nvSpPr>
        <cdr:cNvPr id="2" name="TextBox 1">
          <a:extLst xmlns:a="http://schemas.openxmlformats.org/drawingml/2006/main">
            <a:ext uri="{FF2B5EF4-FFF2-40B4-BE49-F238E27FC236}">
              <a16:creationId xmlns:a16="http://schemas.microsoft.com/office/drawing/2014/main" id="{83AE43EC-8068-45AD-5412-C6D7FE14138C}"/>
            </a:ext>
          </a:extLst>
        </cdr:cNvPr>
        <cdr:cNvSpPr txBox="1"/>
      </cdr:nvSpPr>
      <cdr:spPr>
        <a:xfrm xmlns:a="http://schemas.openxmlformats.org/drawingml/2006/main">
          <a:off x="80380" y="1310190"/>
          <a:ext cx="1278038" cy="233102"/>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lIns="0" tIns="0" rIns="0" bIns="0" rtlCol="0"/>
        <a:lstStyle xmlns:a="http://schemas.openxmlformats.org/drawingml/2006/main"/>
        <a:p xmlns:a="http://schemas.openxmlformats.org/drawingml/2006/main">
          <a:r>
            <a:rPr lang="en-US" sz="1100" b="0" kern="1200">
              <a:solidFill>
                <a:schemeClr val="tx1"/>
              </a:solidFill>
            </a:rPr>
            <a:t>Patient</a:t>
          </a:r>
          <a:r>
            <a:rPr lang="en-US" sz="1100" b="0" kern="1200" baseline="0">
              <a:solidFill>
                <a:schemeClr val="tx1"/>
              </a:solidFill>
            </a:rPr>
            <a:t> Attend Status</a:t>
          </a:r>
          <a:endParaRPr lang="en-US" sz="1100" b="0" kern="1200">
            <a:solidFill>
              <a:schemeClr val="tx1"/>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133350</xdr:colOff>
      <xdr:row>1</xdr:row>
      <xdr:rowOff>127000</xdr:rowOff>
    </xdr:from>
    <xdr:to>
      <xdr:col>10</xdr:col>
      <xdr:colOff>501650</xdr:colOff>
      <xdr:row>16</xdr:row>
      <xdr:rowOff>107950</xdr:rowOff>
    </xdr:to>
    <xdr:graphicFrame macro="">
      <xdr:nvGraphicFramePr>
        <xdr:cNvPr id="2" name="Chart 1">
          <a:extLst>
            <a:ext uri="{FF2B5EF4-FFF2-40B4-BE49-F238E27FC236}">
              <a16:creationId xmlns:a16="http://schemas.microsoft.com/office/drawing/2014/main" id="{CA7FB639-FBA4-4887-89AC-9C355B2FD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6350</xdr:colOff>
      <xdr:row>0</xdr:row>
      <xdr:rowOff>0</xdr:rowOff>
    </xdr:from>
    <xdr:to>
      <xdr:col>1</xdr:col>
      <xdr:colOff>6350</xdr:colOff>
      <xdr:row>3</xdr:row>
      <xdr:rowOff>57150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9F1FA38-A82E-7889-16D0-FF762AE712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50" y="0"/>
          <a:ext cx="609600" cy="609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36342594" backgroundQuery="1" createdVersion="8" refreshedVersion="8" minRefreshableVersion="3" recordCount="0" supportSubquery="1" supportAdvancedDrill="1" xr:uid="{99EC3E39-63F4-4060-A08D-827D7BF8666A}">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1412041" backgroundQuery="1" createdVersion="8" refreshedVersion="8" minRefreshableVersion="3" recordCount="0" supportSubquery="1" supportAdvancedDrill="1" xr:uid="{F5BBE507-D534-430A-8953-0B78D12A4C6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1643518" backgroundQuery="1" createdVersion="8" refreshedVersion="8" minRefreshableVersion="3" recordCount="0" supportSubquery="1" supportAdvancedDrill="1" xr:uid="{76061F31-D98E-49AE-94CA-A37EDDFDD935}">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1875003" backgroundQuery="1" createdVersion="8" refreshedVersion="8" minRefreshableVersion="3" recordCount="0" supportSubquery="1" supportAdvancedDrill="1" xr:uid="{6F11E136-1633-4C9A-A00A-C0F2FB55A000}">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1875003" backgroundQuery="1" createdVersion="8" refreshedVersion="8" minRefreshableVersion="3" recordCount="0" supportSubquery="1" supportAdvancedDrill="1" xr:uid="{B06AE78F-642B-4EA4-8E8C-3EE881CE2904}">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2337964" backgroundQuery="1" createdVersion="8" refreshedVersion="8" minRefreshableVersion="3" recordCount="0" supportSubquery="1" supportAdvancedDrill="1" xr:uid="{CEE2E39F-CED6-431B-8032-4A416ABE7050}">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2916665" backgroundQuery="1" createdVersion="8" refreshedVersion="8" minRefreshableVersion="3" recordCount="0" supportSubquery="1" supportAdvancedDrill="1" xr:uid="{EC2751B8-C542-41B4-872D-006CAC08EE5E}">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3495373" backgroundQuery="1" createdVersion="8" refreshedVersion="8" minRefreshableVersion="3" recordCount="0" supportSubquery="1" supportAdvancedDrill="1" xr:uid="{B31C4537-5E24-4EFE-8630-046CDFB850D1}">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3842596" backgroundQuery="1" createdVersion="8" refreshedVersion="8" minRefreshableVersion="3" recordCount="0" supportSubquery="1" supportAdvancedDrill="1" xr:uid="{92AB4832-42C9-4A48-8E9B-70391C049082}">
  <cacheSource type="external" connectionId="3"/>
  <cacheFields count="4">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4652781" backgroundQuery="1" createdVersion="8" refreshedVersion="8" minRefreshableVersion="3" recordCount="0" supportSubquery="1" supportAdvancedDrill="1" xr:uid="{7A5C1481-2892-46FA-AD02-E15F27B72E61}">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5347221" backgroundQuery="1" createdVersion="8" refreshedVersion="8" minRefreshableVersion="3" recordCount="0" supportSubquery="1" supportAdvancedDrill="1" xr:uid="{1221D5DD-900B-4E13-A2FA-620AE34DFFCF}">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42376041667" backgroundQuery="1" createdVersion="8" refreshedVersion="8" minRefreshableVersion="3" recordCount="0" supportSubquery="1" supportAdvancedDrill="1" xr:uid="{69B65706-6431-4524-8678-DBFA9A2DEC8B}">
  <cacheSource type="external" connectionId="3"/>
  <cacheFields count="4">
    <cacheField name="[Hospital Emergency Room Data].[Calculated Column 1].[Calculated Column 1]" caption="Calculated Column 1" numFmtId="0" hierarchy="17" level="1">
      <sharedItems count="2">
        <s v="delay"/>
        <s v="ontime"/>
      </sharedItems>
    </cacheField>
    <cacheField name="[Measures].[Count of Calculated Column 1]" caption="Count of Calculated Column 1"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yadav" refreshedDate="46044.538793865744" backgroundQuery="1" createdVersion="3" refreshedVersion="8" minRefreshableVersion="3" recordCount="0" supportSubquery="1" supportAdvancedDrill="1" xr:uid="{1D44A291-0F9E-47E6-A971-77A0E153686D}">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380154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6353A-02FA-42E8-A6B2-6740C1EBC7D3}" name="PivotTable12" cacheId="1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0:S32"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6F65A2-4A88-4982-BF28-A4C50EDCB8A5}" name="PivotTable11" cacheId="10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8:T27"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7"/>
    </i>
    <i>
      <x v="3"/>
    </i>
    <i>
      <x v="6"/>
    </i>
    <i>
      <x/>
    </i>
    <i>
      <x v="5"/>
    </i>
    <i>
      <x v="2"/>
    </i>
    <i>
      <x v="4"/>
    </i>
    <i t="grand">
      <x/>
    </i>
  </rowItems>
  <colItems count="1">
    <i/>
  </colItems>
  <dataFields count="1">
    <dataField name="Count of Department Referral"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0C8A8A-C87C-417A-82C4-31F3E61405DB}" name="PivotTable10" cacheId="10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2:W1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69B011-58F5-453B-82BD-C2FCA509F538}" name="PivotTable9" cacheId="1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7:W1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alculated Column 1"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CECB3-DF3F-49EC-A59D-46247F0B02EB}" name="PivotTable8" cacheId="10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7:T16"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86B8EE-2A70-431A-8D13-0F19059AB5CA}" name="PivotTable6" cacheId="1086" applyNumberFormats="0" applyBorderFormats="0" applyFontFormats="0" applyPatternFormats="0" applyAlignmentFormats="0" applyWidthHeightFormats="1" dataCaption="Values" tag="da5542d8-e887-4cf6-bdd4-e38abbdde8df" updatedVersion="8" minRefreshableVersion="3" useAutoFormatting="1" subtotalHiddenItems="1" itemPrintTitles="1" createdVersion="8" indent="0" showHeaders="0" outline="1" outlineData="1" multipleFieldFilters="0" chartFormat="25">
  <location ref="K5: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4">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4CBF7C-0CC0-4202-8767-83F00B86B55E}" name="PivotTable2" cacheId="1077" applyNumberFormats="0" applyBorderFormats="0" applyFontFormats="0" applyPatternFormats="0" applyAlignmentFormats="0" applyWidthHeightFormats="1" dataCaption="Values" tag="8b01d126-9c60-46c6-b112-bc0a8fae97df"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5">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FE94F4-8BC0-4547-BFA8-82DC35EC56FE}" name="PivotTable5" cacheId="1083" applyNumberFormats="0" applyBorderFormats="0" applyFontFormats="0" applyPatternFormats="0" applyAlignmentFormats="0" applyWidthHeightFormats="1" dataCaption="Values" tag="21b118ed-e4da-43d6-aa85-70b10f9955d1" updatedVersion="8" minRefreshableVersion="3" useAutoFormatting="1" subtotalHiddenItems="1" itemPrintTitles="1" createdVersion="8" indent="0" showHeaders="0" outline="1" outlineData="1" multipleFieldFilters="0" chartFormat="19">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1">
    <format dxfId="46">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C33AE6-68B6-40A8-95FA-95BBB0D7C308}" name="PivotTable4" cacheId="1071" applyNumberFormats="0" applyBorderFormats="0" applyFontFormats="0" applyPatternFormats="0" applyAlignmentFormats="0" applyWidthHeightFormats="1" dataCaption="Values" tag="36709abc-0485-4520-9db6-47433abd89d6" updatedVersion="8" minRefreshableVersion="3" useAutoFormatting="1" subtotalHiddenItems="1" itemPrintTitles="1" createdVersion="8" indent="0" outline="1" outlineData="1" multipleFieldFilters="0" chartFormat="10">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C97C99-8D16-4FEB-82AB-AADBE32814A2}" name="PivotTable1" cacheId="1074" applyNumberFormats="0" applyBorderFormats="0" applyFontFormats="0" applyPatternFormats="0" applyAlignmentFormats="0" applyWidthHeightFormats="1" dataCaption="Values" tag="2e24cb0a-bb1b-45b4-9557-1265b4c7412f"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53418A-62FE-45A2-AF4D-17829B9CBF7D}" name="PivotTable3" cacheId="1080" applyNumberFormats="0" applyBorderFormats="0" applyFontFormats="0" applyPatternFormats="0" applyAlignmentFormats="0" applyWidthHeightFormats="1" dataCaption="Values" tag="96f6129d-2703-454d-a8da-282a285363c6" updatedVersion="8" minRefreshableVersion="3" subtotalHiddenItems="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7">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30CCD0-1BDA-4936-98D3-BFF27825DFFD}" name="PivotTable7" cacheId="1089" applyNumberFormats="0" applyBorderFormats="0" applyFontFormats="0" applyPatternFormats="0" applyAlignmentFormats="0" applyWidthHeightFormats="1" dataCaption="Values" tag="2bb89a1e-078f-4776-a64e-aa51a09c0d2c" updatedVersion="8" minRefreshableVersion="3" itemPrintTitles="1" createdVersion="8" indent="0" outline="1" outlineData="1" multipleFieldFilters="0" chartFormat="10">
  <location ref="N6:P9"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1"/>
          </reference>
          <reference field="0" count="1" selected="0">
            <x v="1"/>
          </reference>
        </references>
      </pivotArea>
    </chartFormat>
    <chartFormat chart="1" format="5">
      <pivotArea type="data" outline="0" fieldPosition="0">
        <references count="2">
          <reference field="4294967294" count="1" selected="0">
            <x v="1"/>
          </reference>
          <reference field="0"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17A02A8-2EBB-44C3-9CBE-DBEF12A8E2A7}"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9"/>
  </pivotTables>
  <data>
    <olap pivotCacheId="213801549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E6A92BB-F1FD-4B13-B2B0-7E1142225126}"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3801549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5104F20-F33A-4AC1-A366-0DA54F538B1B}" cache="Slicer_Date__Month" caption="Date (Month)" showCaption="0" level="1" style="my style" rowHeight="210312"/>
  <slicer name="Date (Year)" xr10:uid="{9D5585A0-5575-4D1D-AB45-6A16C1FC82AA}" cache="Slicer_Date__Year" caption="Date (Year)" columnCount="2" showCaption="0" level="1" style="my style"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DE15-DB6F-487E-A10F-FFDB538A2838}">
  <dimension ref="A3:W37"/>
  <sheetViews>
    <sheetView tabSelected="1" zoomScale="42" workbookViewId="0">
      <selection activeCell="F47" sqref="F47"/>
    </sheetView>
  </sheetViews>
  <sheetFormatPr defaultRowHeight="14.5" x14ac:dyDescent="0.35"/>
  <cols>
    <col min="1" max="1" width="23.81640625" bestFit="1" customWidth="1"/>
    <col min="3" max="3" width="12.36328125" bestFit="1" customWidth="1"/>
    <col min="4" max="4" width="23.81640625" bestFit="1" customWidth="1"/>
    <col min="7" max="7" width="10.7265625" bestFit="1" customWidth="1"/>
    <col min="8" max="8" width="24.81640625" bestFit="1" customWidth="1"/>
    <col min="11" max="11" width="10.7265625" bestFit="1" customWidth="1"/>
    <col min="12" max="12" width="31.90625" bestFit="1" customWidth="1"/>
    <col min="13" max="13" width="28.7265625" bestFit="1" customWidth="1"/>
    <col min="14" max="14" width="16.54296875" customWidth="1"/>
    <col min="15" max="15" width="13.90625" customWidth="1"/>
    <col min="16" max="16" width="12.26953125" customWidth="1"/>
    <col min="17" max="17" width="18" customWidth="1"/>
    <col min="19" max="19" width="15.36328125" bestFit="1" customWidth="1"/>
    <col min="20" max="20" width="26.26953125" bestFit="1" customWidth="1"/>
    <col min="22" max="22" width="12.36328125" bestFit="1" customWidth="1"/>
    <col min="23" max="23" width="26" bestFit="1" customWidth="1"/>
  </cols>
  <sheetData>
    <row r="3" spans="1:23" x14ac:dyDescent="0.35">
      <c r="A3" t="s">
        <v>1</v>
      </c>
    </row>
    <row r="4" spans="1:23" x14ac:dyDescent="0.35">
      <c r="A4" t="s">
        <v>0</v>
      </c>
      <c r="C4" t="s">
        <v>7</v>
      </c>
      <c r="G4" t="s">
        <v>8</v>
      </c>
    </row>
    <row r="5" spans="1:23" x14ac:dyDescent="0.35">
      <c r="A5" s="13">
        <v>513</v>
      </c>
      <c r="C5" s="3" t="s">
        <v>5</v>
      </c>
      <c r="D5" t="s">
        <v>0</v>
      </c>
      <c r="H5" t="s">
        <v>2</v>
      </c>
      <c r="L5" t="s">
        <v>3</v>
      </c>
    </row>
    <row r="6" spans="1:23" x14ac:dyDescent="0.35">
      <c r="C6" s="4" t="s">
        <v>16</v>
      </c>
      <c r="D6" s="13">
        <v>19</v>
      </c>
      <c r="G6" s="4" t="s">
        <v>16</v>
      </c>
      <c r="H6" s="5">
        <v>37.789473684210527</v>
      </c>
      <c r="K6" s="4" t="s">
        <v>16</v>
      </c>
      <c r="L6" s="5">
        <v>6.666666666666667</v>
      </c>
      <c r="N6" s="3" t="s">
        <v>5</v>
      </c>
      <c r="O6" t="s">
        <v>11</v>
      </c>
      <c r="P6" t="s">
        <v>12</v>
      </c>
    </row>
    <row r="7" spans="1:23" x14ac:dyDescent="0.35">
      <c r="C7" s="4" t="s">
        <v>17</v>
      </c>
      <c r="D7" s="13">
        <v>14</v>
      </c>
      <c r="G7" s="4" t="s">
        <v>17</v>
      </c>
      <c r="H7" s="5">
        <v>38.214285714285715</v>
      </c>
      <c r="K7" s="4" t="s">
        <v>17</v>
      </c>
      <c r="L7" s="5">
        <v>5.25</v>
      </c>
      <c r="N7" s="4" t="s">
        <v>9</v>
      </c>
      <c r="O7" s="13">
        <v>269</v>
      </c>
      <c r="P7" s="6">
        <v>0.52436647173489281</v>
      </c>
      <c r="S7" s="3" t="s">
        <v>5</v>
      </c>
      <c r="T7" t="s">
        <v>55</v>
      </c>
      <c r="V7" s="3" t="s">
        <v>5</v>
      </c>
      <c r="W7" t="s">
        <v>58</v>
      </c>
    </row>
    <row r="8" spans="1:23" x14ac:dyDescent="0.35">
      <c r="A8" t="s">
        <v>2</v>
      </c>
      <c r="C8" s="4" t="s">
        <v>18</v>
      </c>
      <c r="D8" s="13">
        <v>13</v>
      </c>
      <c r="G8" s="4" t="s">
        <v>18</v>
      </c>
      <c r="H8" s="5">
        <v>40.92307692307692</v>
      </c>
      <c r="K8" s="4" t="s">
        <v>18</v>
      </c>
      <c r="L8" s="5">
        <v>4.5</v>
      </c>
      <c r="N8" s="4" t="s">
        <v>10</v>
      </c>
      <c r="O8" s="13">
        <v>244</v>
      </c>
      <c r="P8" s="6">
        <v>0.47563352826510719</v>
      </c>
      <c r="S8" s="4" t="s">
        <v>47</v>
      </c>
      <c r="T8" s="13">
        <v>76</v>
      </c>
      <c r="V8" s="4" t="s">
        <v>56</v>
      </c>
      <c r="W8" s="13">
        <v>316</v>
      </c>
    </row>
    <row r="9" spans="1:23" x14ac:dyDescent="0.35">
      <c r="A9" s="1">
        <v>36.323586744639378</v>
      </c>
      <c r="C9" s="4" t="s">
        <v>19</v>
      </c>
      <c r="D9" s="13">
        <v>22</v>
      </c>
      <c r="G9" s="4" t="s">
        <v>19</v>
      </c>
      <c r="H9" s="5">
        <v>34.5</v>
      </c>
      <c r="K9" s="4" t="s">
        <v>19</v>
      </c>
      <c r="L9" s="5">
        <v>6</v>
      </c>
      <c r="N9" s="4" t="s">
        <v>6</v>
      </c>
      <c r="O9" s="13">
        <v>513</v>
      </c>
      <c r="P9" s="6">
        <v>1</v>
      </c>
      <c r="S9" s="4" t="s">
        <v>48</v>
      </c>
      <c r="T9" s="13">
        <v>69</v>
      </c>
      <c r="V9" s="4" t="s">
        <v>57</v>
      </c>
      <c r="W9" s="13">
        <v>197</v>
      </c>
    </row>
    <row r="10" spans="1:23" x14ac:dyDescent="0.35">
      <c r="C10" s="4" t="s">
        <v>20</v>
      </c>
      <c r="D10" s="13">
        <v>19</v>
      </c>
      <c r="G10" s="4" t="s">
        <v>20</v>
      </c>
      <c r="H10" s="5">
        <v>30.684210526315791</v>
      </c>
      <c r="K10" s="4" t="s">
        <v>20</v>
      </c>
      <c r="L10" s="5">
        <v>7.75</v>
      </c>
      <c r="S10" s="4" t="s">
        <v>49</v>
      </c>
      <c r="T10" s="13">
        <v>64</v>
      </c>
      <c r="V10" s="4" t="s">
        <v>6</v>
      </c>
      <c r="W10" s="13">
        <v>513</v>
      </c>
    </row>
    <row r="11" spans="1:23" x14ac:dyDescent="0.35">
      <c r="C11" s="4" t="s">
        <v>21</v>
      </c>
      <c r="D11" s="13">
        <v>15</v>
      </c>
      <c r="G11" s="4" t="s">
        <v>21</v>
      </c>
      <c r="H11" s="5">
        <v>37.666666666666664</v>
      </c>
      <c r="K11" s="4" t="s">
        <v>21</v>
      </c>
      <c r="L11" s="5">
        <v>6.2</v>
      </c>
      <c r="S11" s="4" t="s">
        <v>50</v>
      </c>
      <c r="T11" s="13">
        <v>59</v>
      </c>
    </row>
    <row r="12" spans="1:23" x14ac:dyDescent="0.35">
      <c r="A12" t="s">
        <v>3</v>
      </c>
      <c r="C12" s="4" t="s">
        <v>22</v>
      </c>
      <c r="D12" s="13">
        <v>12</v>
      </c>
      <c r="G12" s="4" t="s">
        <v>22</v>
      </c>
      <c r="H12" s="5">
        <v>36.083333333333336</v>
      </c>
      <c r="K12" s="4" t="s">
        <v>22</v>
      </c>
      <c r="L12" s="5">
        <v>3.75</v>
      </c>
      <c r="S12" s="4" t="s">
        <v>51</v>
      </c>
      <c r="T12" s="13">
        <v>58</v>
      </c>
      <c r="V12" s="3" t="s">
        <v>5</v>
      </c>
      <c r="W12" t="s">
        <v>61</v>
      </c>
    </row>
    <row r="13" spans="1:23" x14ac:dyDescent="0.35">
      <c r="A13" s="1">
        <v>5.4402985074626864</v>
      </c>
      <c r="C13" s="4" t="s">
        <v>23</v>
      </c>
      <c r="D13" s="13">
        <v>21</v>
      </c>
      <c r="G13" s="4" t="s">
        <v>23</v>
      </c>
      <c r="H13" s="5">
        <v>43.523809523809526</v>
      </c>
      <c r="K13" s="4" t="s">
        <v>23</v>
      </c>
      <c r="L13" s="5">
        <v>6.5</v>
      </c>
      <c r="S13" s="4" t="s">
        <v>52</v>
      </c>
      <c r="T13" s="13">
        <v>66</v>
      </c>
      <c r="V13" s="4" t="s">
        <v>59</v>
      </c>
      <c r="W13" s="13">
        <v>241</v>
      </c>
    </row>
    <row r="14" spans="1:23" x14ac:dyDescent="0.35">
      <c r="C14" s="4" t="s">
        <v>24</v>
      </c>
      <c r="D14" s="13">
        <v>12</v>
      </c>
      <c r="G14" s="4" t="s">
        <v>24</v>
      </c>
      <c r="H14" s="5">
        <v>29.5</v>
      </c>
      <c r="K14" s="4" t="s">
        <v>24</v>
      </c>
      <c r="L14" s="5">
        <v>6</v>
      </c>
      <c r="S14" s="4" t="s">
        <v>53</v>
      </c>
      <c r="T14" s="13">
        <v>67</v>
      </c>
      <c r="V14" s="4" t="s">
        <v>60</v>
      </c>
      <c r="W14" s="13">
        <v>272</v>
      </c>
    </row>
    <row r="15" spans="1:23" x14ac:dyDescent="0.35">
      <c r="C15" s="4" t="s">
        <v>25</v>
      </c>
      <c r="D15" s="13">
        <v>13</v>
      </c>
      <c r="G15" s="4" t="s">
        <v>25</v>
      </c>
      <c r="H15" s="5">
        <v>38.07692307692308</v>
      </c>
      <c r="K15" s="4" t="s">
        <v>25</v>
      </c>
      <c r="L15" s="5">
        <v>4.5</v>
      </c>
      <c r="S15" s="4" t="s">
        <v>54</v>
      </c>
      <c r="T15" s="13">
        <v>54</v>
      </c>
      <c r="V15" s="4" t="s">
        <v>6</v>
      </c>
      <c r="W15" s="13">
        <v>513</v>
      </c>
    </row>
    <row r="16" spans="1:23" x14ac:dyDescent="0.35">
      <c r="C16" s="4" t="s">
        <v>26</v>
      </c>
      <c r="D16" s="13">
        <v>13</v>
      </c>
      <c r="G16" s="4" t="s">
        <v>26</v>
      </c>
      <c r="H16" s="5">
        <v>35.846153846153847</v>
      </c>
      <c r="K16" s="4" t="s">
        <v>26</v>
      </c>
      <c r="L16" s="5">
        <v>6</v>
      </c>
      <c r="S16" s="4" t="s">
        <v>6</v>
      </c>
      <c r="T16" s="13">
        <v>513</v>
      </c>
    </row>
    <row r="17" spans="3:20" x14ac:dyDescent="0.35">
      <c r="C17" s="4" t="s">
        <v>27</v>
      </c>
      <c r="D17" s="13">
        <v>16</v>
      </c>
      <c r="G17" s="4" t="s">
        <v>27</v>
      </c>
      <c r="H17" s="5">
        <v>32.625</v>
      </c>
      <c r="K17" s="4" t="s">
        <v>27</v>
      </c>
      <c r="L17" s="5">
        <v>5.2</v>
      </c>
      <c r="N17" s="9" t="s">
        <v>13</v>
      </c>
      <c r="O17" s="9" t="s">
        <v>14</v>
      </c>
      <c r="P17" s="9" t="s">
        <v>15</v>
      </c>
      <c r="Q17" s="8"/>
    </row>
    <row r="18" spans="3:20" x14ac:dyDescent="0.35">
      <c r="C18" s="4" t="s">
        <v>28</v>
      </c>
      <c r="D18" s="13">
        <v>20</v>
      </c>
      <c r="G18" s="4" t="s">
        <v>28</v>
      </c>
      <c r="H18" s="5">
        <v>39.200000000000003</v>
      </c>
      <c r="K18" s="4" t="s">
        <v>28</v>
      </c>
      <c r="L18" s="5">
        <v>4.4000000000000004</v>
      </c>
      <c r="N18" s="10" t="str">
        <f>N8</f>
        <v>Not Admitted</v>
      </c>
      <c r="O18" s="11">
        <f t="shared" ref="O18:P18" si="0">O8</f>
        <v>244</v>
      </c>
      <c r="P18" s="10">
        <f t="shared" si="0"/>
        <v>0.47563352826510719</v>
      </c>
      <c r="Q18" s="7"/>
      <c r="S18" s="3" t="s">
        <v>5</v>
      </c>
      <c r="T18" t="s">
        <v>70</v>
      </c>
    </row>
    <row r="19" spans="3:20" x14ac:dyDescent="0.35">
      <c r="C19" s="4" t="s">
        <v>29</v>
      </c>
      <c r="D19" s="13">
        <v>25</v>
      </c>
      <c r="G19" s="4" t="s">
        <v>29</v>
      </c>
      <c r="H19" s="5">
        <v>35.28</v>
      </c>
      <c r="K19" s="4" t="s">
        <v>29</v>
      </c>
      <c r="L19" s="5">
        <v>4.75</v>
      </c>
      <c r="N19" s="12" t="str">
        <f>N7</f>
        <v>Admitted</v>
      </c>
      <c r="O19" s="12">
        <f>O7</f>
        <v>269</v>
      </c>
      <c r="P19" s="10">
        <f>P7</f>
        <v>0.52436647173489281</v>
      </c>
      <c r="Q19" s="7"/>
      <c r="S19" s="4" t="s">
        <v>63</v>
      </c>
      <c r="T19" s="13">
        <v>4</v>
      </c>
    </row>
    <row r="20" spans="3:20" x14ac:dyDescent="0.35">
      <c r="C20" s="4" t="s">
        <v>30</v>
      </c>
      <c r="D20" s="13">
        <v>20</v>
      </c>
      <c r="G20" s="4" t="s">
        <v>30</v>
      </c>
      <c r="H20" s="5">
        <v>32.549999999999997</v>
      </c>
      <c r="K20" s="4" t="s">
        <v>30</v>
      </c>
      <c r="L20" s="5">
        <v>4.8888888888888893</v>
      </c>
      <c r="S20" s="4" t="s">
        <v>69</v>
      </c>
      <c r="T20" s="13">
        <v>5</v>
      </c>
    </row>
    <row r="21" spans="3:20" x14ac:dyDescent="0.35">
      <c r="C21" s="4" t="s">
        <v>31</v>
      </c>
      <c r="D21" s="13">
        <v>14</v>
      </c>
      <c r="G21" s="4" t="s">
        <v>31</v>
      </c>
      <c r="H21" s="5">
        <v>35.642857142857146</v>
      </c>
      <c r="K21" s="4" t="s">
        <v>31</v>
      </c>
      <c r="L21" s="5">
        <v>5.833333333333333</v>
      </c>
      <c r="S21" s="4" t="s">
        <v>65</v>
      </c>
      <c r="T21" s="13">
        <v>9</v>
      </c>
    </row>
    <row r="22" spans="3:20" x14ac:dyDescent="0.35">
      <c r="C22" s="4" t="s">
        <v>32</v>
      </c>
      <c r="D22" s="13">
        <v>17</v>
      </c>
      <c r="G22" s="4" t="s">
        <v>32</v>
      </c>
      <c r="H22" s="5">
        <v>38.764705882352942</v>
      </c>
      <c r="K22" s="4" t="s">
        <v>32</v>
      </c>
      <c r="L22" s="5">
        <v>5</v>
      </c>
      <c r="S22" s="4" t="s">
        <v>68</v>
      </c>
      <c r="T22" s="13">
        <v>14</v>
      </c>
    </row>
    <row r="23" spans="3:20" x14ac:dyDescent="0.35">
      <c r="C23" s="4" t="s">
        <v>33</v>
      </c>
      <c r="D23" s="13">
        <v>20</v>
      </c>
      <c r="G23" s="4" t="s">
        <v>33</v>
      </c>
      <c r="H23" s="5">
        <v>39.9</v>
      </c>
      <c r="K23" s="4" t="s">
        <v>33</v>
      </c>
      <c r="L23" s="5">
        <v>8</v>
      </c>
      <c r="S23" s="4" t="s">
        <v>62</v>
      </c>
      <c r="T23" s="13">
        <v>14</v>
      </c>
    </row>
    <row r="24" spans="3:20" x14ac:dyDescent="0.35">
      <c r="C24" s="4" t="s">
        <v>34</v>
      </c>
      <c r="D24" s="13">
        <v>10</v>
      </c>
      <c r="G24" s="4" t="s">
        <v>34</v>
      </c>
      <c r="H24" s="5">
        <v>41.6</v>
      </c>
      <c r="K24" s="4" t="s">
        <v>34</v>
      </c>
      <c r="L24" s="5">
        <v>5.333333333333333</v>
      </c>
      <c r="S24" s="4" t="s">
        <v>67</v>
      </c>
      <c r="T24" s="13">
        <v>65</v>
      </c>
    </row>
    <row r="25" spans="3:20" x14ac:dyDescent="0.35">
      <c r="C25" s="4" t="s">
        <v>35</v>
      </c>
      <c r="D25" s="13">
        <v>17</v>
      </c>
      <c r="G25" s="4" t="s">
        <v>35</v>
      </c>
      <c r="H25" s="5">
        <v>39.470588235294116</v>
      </c>
      <c r="K25" s="4" t="s">
        <v>35</v>
      </c>
      <c r="L25" s="5">
        <v>5.5714285714285712</v>
      </c>
      <c r="S25" s="4" t="s">
        <v>64</v>
      </c>
      <c r="T25" s="13">
        <v>103</v>
      </c>
    </row>
    <row r="26" spans="3:20" x14ac:dyDescent="0.35">
      <c r="C26" s="4" t="s">
        <v>36</v>
      </c>
      <c r="D26" s="13">
        <v>15</v>
      </c>
      <c r="G26" s="4" t="s">
        <v>36</v>
      </c>
      <c r="H26" s="5">
        <v>27.733333333333334</v>
      </c>
      <c r="K26" s="4" t="s">
        <v>36</v>
      </c>
      <c r="L26" s="5">
        <v>5</v>
      </c>
      <c r="S26" s="4" t="s">
        <v>66</v>
      </c>
      <c r="T26" s="13">
        <v>299</v>
      </c>
    </row>
    <row r="27" spans="3:20" x14ac:dyDescent="0.35">
      <c r="C27" s="4" t="s">
        <v>37</v>
      </c>
      <c r="D27" s="13">
        <v>16</v>
      </c>
      <c r="G27" s="4" t="s">
        <v>37</v>
      </c>
      <c r="H27" s="5">
        <v>36.875</v>
      </c>
      <c r="K27" s="4" t="s">
        <v>37</v>
      </c>
      <c r="L27" s="5">
        <v>6.4</v>
      </c>
      <c r="S27" s="4" t="s">
        <v>6</v>
      </c>
      <c r="T27" s="13">
        <v>513</v>
      </c>
    </row>
    <row r="28" spans="3:20" x14ac:dyDescent="0.35">
      <c r="C28" s="4" t="s">
        <v>38</v>
      </c>
      <c r="D28" s="13">
        <v>18</v>
      </c>
      <c r="G28" s="4" t="s">
        <v>38</v>
      </c>
      <c r="H28" s="5">
        <v>40.333333333333336</v>
      </c>
      <c r="K28" s="4" t="s">
        <v>38</v>
      </c>
      <c r="L28" s="5">
        <v>8</v>
      </c>
    </row>
    <row r="29" spans="3:20" x14ac:dyDescent="0.35">
      <c r="C29" s="4" t="s">
        <v>39</v>
      </c>
      <c r="D29" s="13">
        <v>16</v>
      </c>
      <c r="G29" s="4" t="s">
        <v>39</v>
      </c>
      <c r="H29" s="5">
        <v>36.5</v>
      </c>
      <c r="K29" s="4" t="s">
        <v>39</v>
      </c>
      <c r="L29" s="5">
        <v>5</v>
      </c>
    </row>
    <row r="30" spans="3:20" x14ac:dyDescent="0.35">
      <c r="C30" s="4" t="s">
        <v>40</v>
      </c>
      <c r="D30" s="13">
        <v>15</v>
      </c>
      <c r="G30" s="4" t="s">
        <v>40</v>
      </c>
      <c r="H30" s="5">
        <v>32.866666666666667</v>
      </c>
      <c r="K30" s="4" t="s">
        <v>40</v>
      </c>
      <c r="L30" s="5">
        <v>6.333333333333333</v>
      </c>
      <c r="S30" s="3" t="s">
        <v>5</v>
      </c>
    </row>
    <row r="31" spans="3:20" x14ac:dyDescent="0.35">
      <c r="C31" s="4" t="s">
        <v>41</v>
      </c>
      <c r="D31" s="13">
        <v>14</v>
      </c>
      <c r="G31" s="4" t="s">
        <v>41</v>
      </c>
      <c r="H31" s="5">
        <v>36.642857142857146</v>
      </c>
      <c r="K31" s="4" t="s">
        <v>41</v>
      </c>
      <c r="L31" s="5">
        <v>10</v>
      </c>
      <c r="S31" s="4" t="s">
        <v>71</v>
      </c>
    </row>
    <row r="32" spans="3:20" x14ac:dyDescent="0.35">
      <c r="C32" s="4" t="s">
        <v>42</v>
      </c>
      <c r="D32" s="13">
        <v>16</v>
      </c>
      <c r="G32" s="4" t="s">
        <v>42</v>
      </c>
      <c r="H32" s="5">
        <v>36.5625</v>
      </c>
      <c r="K32" s="4" t="s">
        <v>42</v>
      </c>
      <c r="L32" s="5">
        <v>5</v>
      </c>
      <c r="S32" s="4" t="s">
        <v>6</v>
      </c>
    </row>
    <row r="33" spans="3:12" x14ac:dyDescent="0.35">
      <c r="C33" s="4" t="s">
        <v>43</v>
      </c>
      <c r="D33" s="13">
        <v>20</v>
      </c>
      <c r="G33" s="4" t="s">
        <v>43</v>
      </c>
      <c r="H33" s="5">
        <v>32.15</v>
      </c>
      <c r="K33" s="4" t="s">
        <v>43</v>
      </c>
      <c r="L33" s="5">
        <v>5.333333333333333</v>
      </c>
    </row>
    <row r="34" spans="3:12" x14ac:dyDescent="0.35">
      <c r="C34" s="4" t="s">
        <v>44</v>
      </c>
      <c r="D34" s="13">
        <v>19</v>
      </c>
      <c r="G34" s="4" t="s">
        <v>44</v>
      </c>
      <c r="H34" s="5">
        <v>38.368421052631582</v>
      </c>
      <c r="K34" s="4" t="s">
        <v>44</v>
      </c>
      <c r="L34" s="5">
        <v>4.8</v>
      </c>
    </row>
    <row r="35" spans="3:12" x14ac:dyDescent="0.35">
      <c r="C35" s="4" t="s">
        <v>45</v>
      </c>
      <c r="D35" s="13">
        <v>14</v>
      </c>
      <c r="G35" s="4" t="s">
        <v>45</v>
      </c>
      <c r="H35" s="5">
        <v>33.071428571428569</v>
      </c>
      <c r="K35" s="4" t="s">
        <v>45</v>
      </c>
      <c r="L35" s="5">
        <v>5</v>
      </c>
    </row>
    <row r="36" spans="3:12" x14ac:dyDescent="0.35">
      <c r="C36" s="4" t="s">
        <v>46</v>
      </c>
      <c r="D36" s="13">
        <v>18</v>
      </c>
      <c r="G36" s="4" t="s">
        <v>46</v>
      </c>
      <c r="H36" s="5">
        <v>36.444444444444443</v>
      </c>
      <c r="K36" s="4" t="s">
        <v>46</v>
      </c>
      <c r="L36" s="5">
        <v>1.75</v>
      </c>
    </row>
    <row r="37" spans="3:12" x14ac:dyDescent="0.35">
      <c r="C37" s="4" t="s">
        <v>6</v>
      </c>
      <c r="D37" s="13">
        <v>513</v>
      </c>
      <c r="G37" s="4" t="s">
        <v>6</v>
      </c>
      <c r="H37" s="5">
        <v>36.323586744639378</v>
      </c>
      <c r="K37" s="4" t="s">
        <v>6</v>
      </c>
      <c r="L37" s="5">
        <v>5.4402985074626864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2D33-09BE-47C3-B530-B8395FEB1015}">
  <dimension ref="A1"/>
  <sheetViews>
    <sheetView workbookViewId="0"/>
  </sheetViews>
  <sheetFormatPr defaultRowHeight="14.5" x14ac:dyDescent="0.35"/>
  <cols>
    <col min="1" max="16384" width="8.7265625" style="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F7744-C929-4927-B1D0-06EF45F0FACD}">
  <dimension ref="A1"/>
  <sheetViews>
    <sheetView workbookViewId="0"/>
  </sheetViews>
  <sheetFormatPr defaultRowHeight="14.5" x14ac:dyDescent="0.35"/>
  <cols>
    <col min="1" max="16384" width="8.7265625" style="2"/>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D4EE-CCB6-4BFD-99CB-EC1563B79FC6}">
  <dimension ref="A8"/>
  <sheetViews>
    <sheetView zoomScale="112" workbookViewId="0">
      <selection activeCell="K24" sqref="K24"/>
    </sheetView>
  </sheetViews>
  <sheetFormatPr defaultRowHeight="14.5" x14ac:dyDescent="0.35"/>
  <cols>
    <col min="1" max="7" width="8.7265625" style="2"/>
    <col min="8" max="8" width="8.7265625" style="2" customWidth="1"/>
    <col min="9" max="16384" width="8.7265625" style="2"/>
  </cols>
  <sheetData>
    <row r="8" spans="1:1" x14ac:dyDescent="0.35">
      <c r="A8" s="2" t="s">
        <v>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2452-A332-49E7-BE44-966EAF73FFE3}">
  <dimension ref="A1"/>
  <sheetViews>
    <sheetView workbookViewId="0">
      <selection activeCell="F17" sqref="F17"/>
    </sheetView>
  </sheetViews>
  <sheetFormatPr defaultRowHeight="14.5" x14ac:dyDescent="0.35"/>
  <cols>
    <col min="1" max="16384" width="8.7265625" style="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9E0A826-E777-430F-8C28-1124E8C419BD}">
  <ds:schemaRefs/>
</ds:datastoreItem>
</file>

<file path=customXml/itemProps2.xml><?xml version="1.0" encoding="utf-8"?>
<ds:datastoreItem xmlns:ds="http://schemas.openxmlformats.org/officeDocument/2006/customXml" ds:itemID="{DDF60F50-4F17-439B-B3C8-070F6DC3CB34}">
  <ds:schemaRefs/>
</ds:datastoreItem>
</file>

<file path=customXml/itemProps3.xml><?xml version="1.0" encoding="utf-8"?>
<ds:datastoreItem xmlns:ds="http://schemas.openxmlformats.org/officeDocument/2006/customXml" ds:itemID="{BB716A01-A7B4-4F79-8477-A9EEBDCBD180}">
  <ds:schemaRefs/>
</ds:datastoreItem>
</file>

<file path=customXml/itemProps4.xml><?xml version="1.0" encoding="utf-8"?>
<ds:datastoreItem xmlns:ds="http://schemas.openxmlformats.org/officeDocument/2006/customXml" ds:itemID="{6254012C-1835-47CB-9083-1AE7B4149FAD}">
  <ds:schemaRefs/>
</ds:datastoreItem>
</file>

<file path=customXml/itemProps5.xml><?xml version="1.0" encoding="utf-8"?>
<ds:datastoreItem xmlns:ds="http://schemas.openxmlformats.org/officeDocument/2006/customXml" ds:itemID="{8A51F0A1-1AFB-45E5-BC8E-90D87697CBAF}">
  <ds:schemaRefs/>
</ds:datastoreItem>
</file>

<file path=customXml/itemProps6.xml><?xml version="1.0" encoding="utf-8"?>
<ds:datastoreItem xmlns:ds="http://schemas.openxmlformats.org/officeDocument/2006/customXml" ds:itemID="{78905ED7-0FDF-4857-AD9B-10DA66FF0CA0}">
  <ds:schemaRefs/>
</ds:datastoreItem>
</file>

<file path=customXml/itemProps7.xml><?xml version="1.0" encoding="utf-8"?>
<ds:datastoreItem xmlns:ds="http://schemas.openxmlformats.org/officeDocument/2006/customXml" ds:itemID="{BC7BB467-EA28-4216-85CE-DAE0FF55F275}">
  <ds:schemaRefs/>
</ds:datastoreItem>
</file>

<file path=customXml/itemProps8.xml><?xml version="1.0" encoding="utf-8"?>
<ds:datastoreItem xmlns:ds="http://schemas.openxmlformats.org/officeDocument/2006/customXml" ds:itemID="{E13411DF-3AA2-4C5F-B2AA-716F01EECE33}">
  <ds:schemaRefs/>
</ds:datastoreItem>
</file>

<file path=customXml/itemProps9.xml><?xml version="1.0" encoding="utf-8"?>
<ds:datastoreItem xmlns:ds="http://schemas.openxmlformats.org/officeDocument/2006/customXml" ds:itemID="{BFD3E6F8-AE8B-4165-ACC7-AB0109D03CB2}">
  <ds:schemaRefs/>
</ds:datastoreItem>
</file>

<file path=customXml/itemProps10.xml><?xml version="1.0" encoding="utf-8"?>
<ds:datastoreItem xmlns:ds="http://schemas.openxmlformats.org/officeDocument/2006/customXml" ds:itemID="{8BF8C2A1-4C76-45CE-9B40-C1198CCC423E}">
  <ds:schemaRefs/>
</ds:datastoreItem>
</file>

<file path=customXml/itemProps11.xml><?xml version="1.0" encoding="utf-8"?>
<ds:datastoreItem xmlns:ds="http://schemas.openxmlformats.org/officeDocument/2006/customXml" ds:itemID="{09191666-7484-48C7-AB97-B35A9A7B2F2D}">
  <ds:schemaRefs/>
</ds:datastoreItem>
</file>

<file path=customXml/itemProps12.xml><?xml version="1.0" encoding="utf-8"?>
<ds:datastoreItem xmlns:ds="http://schemas.openxmlformats.org/officeDocument/2006/customXml" ds:itemID="{22BCA0EC-0D55-4F92-91DF-2E506B7FA2DC}">
  <ds:schemaRefs/>
</ds:datastoreItem>
</file>

<file path=customXml/itemProps13.xml><?xml version="1.0" encoding="utf-8"?>
<ds:datastoreItem xmlns:ds="http://schemas.openxmlformats.org/officeDocument/2006/customXml" ds:itemID="{5F222342-8709-4505-B7F5-A76205E08E0A}">
  <ds:schemaRefs/>
</ds:datastoreItem>
</file>

<file path=customXml/itemProps14.xml><?xml version="1.0" encoding="utf-8"?>
<ds:datastoreItem xmlns:ds="http://schemas.openxmlformats.org/officeDocument/2006/customXml" ds:itemID="{F59288D8-C4C6-4C56-AACE-D06B1F44E2E3}">
  <ds:schemaRefs/>
</ds:datastoreItem>
</file>

<file path=customXml/itemProps15.xml><?xml version="1.0" encoding="utf-8"?>
<ds:datastoreItem xmlns:ds="http://schemas.openxmlformats.org/officeDocument/2006/customXml" ds:itemID="{18008845-10E6-47E5-99D3-D5BA4F3C8228}">
  <ds:schemaRefs/>
</ds:datastoreItem>
</file>

<file path=customXml/itemProps16.xml><?xml version="1.0" encoding="utf-8"?>
<ds:datastoreItem xmlns:ds="http://schemas.openxmlformats.org/officeDocument/2006/customXml" ds:itemID="{A0FE09D4-26F4-42AC-9F74-20DFF8C7D6C7}">
  <ds:schemaRefs/>
</ds:datastoreItem>
</file>

<file path=customXml/itemProps17.xml><?xml version="1.0" encoding="utf-8"?>
<ds:datastoreItem xmlns:ds="http://schemas.openxmlformats.org/officeDocument/2006/customXml" ds:itemID="{05C4B729-4DD1-4594-ABA4-60610080E208}">
  <ds:schemaRefs/>
</ds:datastoreItem>
</file>

<file path=customXml/itemProps18.xml><?xml version="1.0" encoding="utf-8"?>
<ds:datastoreItem xmlns:ds="http://schemas.openxmlformats.org/officeDocument/2006/customXml" ds:itemID="{63535F5D-152B-47EB-82D3-21CD12CEB4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Avg wait time daily trend</vt:lpstr>
      <vt:lpstr>Daily ER No. of Patient</vt:lpstr>
      <vt:lpstr>Dashboard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happy yadav</dc:creator>
  <cp:lastModifiedBy>happy yadav</cp:lastModifiedBy>
  <dcterms:created xsi:type="dcterms:W3CDTF">2026-01-17T07:12:59Z</dcterms:created>
  <dcterms:modified xsi:type="dcterms:W3CDTF">2026-01-22T07:45:24Z</dcterms:modified>
</cp:coreProperties>
</file>